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lha\Downloads\"/>
    </mc:Choice>
  </mc:AlternateContent>
  <xr:revisionPtr revIDLastSave="0" documentId="8_{8AAD970E-7B80-4079-BA6E-C69EBCAFC4EA}" xr6:coauthVersionLast="47" xr6:coauthVersionMax="47" xr10:uidLastSave="{00000000-0000-0000-0000-000000000000}"/>
  <bookViews>
    <workbookView xWindow="23890" yWindow="-110" windowWidth="38620" windowHeight="21100" firstSheet="1" activeTab="1" xr2:uid="{00000000-000D-0000-FFFF-FFFF00000000}"/>
  </bookViews>
  <sheets>
    <sheet name="Overview" sheetId="9" state="hidden" r:id="rId1"/>
    <sheet name="Utilization " sheetId="1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 a="1"/>
  <c r="A2" i="9"/>
  <c r="C162" i="11"/>
  <c r="B162" i="11"/>
  <c r="C161" i="11"/>
  <c r="B161" i="11"/>
  <c r="C160" i="11"/>
  <c r="B160" i="11"/>
  <c r="C159" i="11"/>
  <c r="B159" i="11"/>
  <c r="C158" i="11"/>
  <c r="B158" i="11"/>
  <c r="C157" i="11"/>
  <c r="B157" i="11"/>
  <c r="C156" i="11"/>
  <c r="B156" i="1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2" i="11"/>
  <c r="B142" i="11"/>
  <c r="C141" i="11"/>
  <c r="B141" i="11"/>
  <c r="C140" i="11"/>
  <c r="B140" i="11"/>
  <c r="C139" i="11"/>
  <c r="B139" i="11"/>
  <c r="C138" i="11"/>
  <c r="B138" i="11"/>
  <c r="C137" i="11"/>
  <c r="B137" i="11"/>
  <c r="C136" i="11"/>
  <c r="B136" i="11"/>
  <c r="C135" i="11"/>
  <c r="B135" i="11"/>
  <c r="C134" i="11"/>
  <c r="B134" i="11"/>
  <c r="C133" i="11"/>
  <c r="B133" i="11"/>
  <c r="C132" i="11"/>
  <c r="B132" i="11"/>
  <c r="C127" i="11"/>
  <c r="B127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3" i="11"/>
  <c r="B3" i="11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J10" i="9"/>
  <c r="I10" i="9"/>
  <c r="K10" i="9" s="1"/>
  <c r="A10" i="9"/>
  <c r="J9" i="9"/>
  <c r="I9" i="9"/>
  <c r="K9" i="9" s="1"/>
  <c r="A9" i="9"/>
  <c r="J8" i="9"/>
  <c r="I8" i="9"/>
  <c r="K8" i="9" s="1"/>
  <c r="A8" i="9"/>
  <c r="J7" i="9"/>
  <c r="I7" i="9"/>
  <c r="K7" i="9" s="1"/>
  <c r="A7" i="9"/>
  <c r="J6" i="9"/>
  <c r="I6" i="9"/>
  <c r="K6" i="9" s="1"/>
  <c r="A6" i="9"/>
  <c r="J5" i="9"/>
  <c r="I5" i="9"/>
  <c r="K5" i="9" s="1"/>
  <c r="A5" i="9"/>
  <c r="J4" i="9"/>
  <c r="I4" i="9"/>
  <c r="K4" i="9" s="1"/>
  <c r="A4" i="9"/>
  <c r="J3" i="9"/>
  <c r="I3" i="9"/>
  <c r="K3" i="9" s="1"/>
  <c r="A3" i="9"/>
  <c r="J2" i="9"/>
  <c r="I2" i="9"/>
  <c r="K2" i="9" s="1"/>
  <c r="D1000" i="9"/>
  <c r="D999" i="9"/>
  <c r="D987" i="9"/>
  <c r="D984" i="9"/>
  <c r="D972" i="9"/>
  <c r="D971" i="9"/>
  <c r="D958" i="9"/>
  <c r="D956" i="9"/>
  <c r="D944" i="9"/>
  <c r="D942" i="9"/>
  <c r="D930" i="9"/>
  <c r="D928" i="9"/>
  <c r="D915" i="9"/>
  <c r="D914" i="9"/>
  <c r="D902" i="9"/>
  <c r="D899" i="9"/>
  <c r="D887" i="9"/>
  <c r="D886" i="9"/>
  <c r="D872" i="9"/>
  <c r="D871" i="9"/>
  <c r="D859" i="9"/>
  <c r="D856" i="9"/>
  <c r="D844" i="9"/>
  <c r="D843" i="9"/>
  <c r="D830" i="9"/>
  <c r="D828" i="9"/>
  <c r="D816" i="9"/>
  <c r="D814" i="9"/>
  <c r="D803" i="9"/>
  <c r="D802" i="9"/>
  <c r="D792" i="9"/>
  <c r="D791" i="9"/>
  <c r="D782" i="9"/>
  <c r="D780" i="9"/>
  <c r="D771" i="9"/>
  <c r="D770" i="9"/>
  <c r="D760" i="9"/>
  <c r="D759" i="9"/>
  <c r="D750" i="9"/>
  <c r="D748" i="9"/>
  <c r="D739" i="9"/>
  <c r="D738" i="9"/>
  <c r="D728" i="9"/>
  <c r="D727" i="9"/>
  <c r="D718" i="9"/>
  <c r="D716" i="9"/>
  <c r="D707" i="9"/>
  <c r="D706" i="9"/>
  <c r="D696" i="9"/>
  <c r="D695" i="9"/>
  <c r="D686" i="9"/>
  <c r="D684" i="9"/>
  <c r="D675" i="9"/>
  <c r="D674" i="9"/>
  <c r="D664" i="9"/>
  <c r="D663" i="9"/>
  <c r="D654" i="9"/>
  <c r="D652" i="9"/>
  <c r="D643" i="9"/>
  <c r="D642" i="9"/>
  <c r="D632" i="9"/>
  <c r="D631" i="9"/>
  <c r="D622" i="9"/>
  <c r="D620" i="9"/>
  <c r="D611" i="9"/>
  <c r="D610" i="9"/>
  <c r="D600" i="9"/>
  <c r="D599" i="9"/>
  <c r="D590" i="9"/>
  <c r="D588" i="9"/>
  <c r="D579" i="9"/>
  <c r="D578" i="9"/>
  <c r="D568" i="9"/>
  <c r="D567" i="9"/>
  <c r="D558" i="9"/>
  <c r="D556" i="9"/>
  <c r="D547" i="9"/>
  <c r="D546" i="9"/>
  <c r="D536" i="9"/>
  <c r="D535" i="9"/>
  <c r="D526" i="9"/>
  <c r="D524" i="9"/>
  <c r="D515" i="9"/>
  <c r="D514" i="9"/>
  <c r="D504" i="9"/>
  <c r="D503" i="9"/>
  <c r="D494" i="9"/>
  <c r="D492" i="9"/>
  <c r="D483" i="9"/>
  <c r="D482" i="9"/>
  <c r="D472" i="9"/>
  <c r="D471" i="9"/>
  <c r="D462" i="9"/>
  <c r="D460" i="9"/>
  <c r="D451" i="9"/>
  <c r="D450" i="9"/>
  <c r="D440" i="9"/>
  <c r="D439" i="9"/>
  <c r="D430" i="9"/>
  <c r="D428" i="9"/>
  <c r="D419" i="9"/>
  <c r="D418" i="9"/>
  <c r="D412" i="9"/>
  <c r="D411" i="9"/>
  <c r="D406" i="9"/>
  <c r="D403" i="9"/>
  <c r="D398" i="9"/>
  <c r="D396" i="9"/>
  <c r="D391" i="9"/>
  <c r="D390" i="9"/>
  <c r="D384" i="9"/>
  <c r="D382" i="9"/>
  <c r="D376" i="9"/>
  <c r="D375" i="9"/>
  <c r="D370" i="9"/>
  <c r="D368" i="9"/>
  <c r="D363" i="9"/>
  <c r="D360" i="9"/>
  <c r="D355" i="9"/>
  <c r="D354" i="9"/>
  <c r="D348" i="9"/>
  <c r="D347" i="9"/>
  <c r="D342" i="9"/>
  <c r="D339" i="9"/>
  <c r="D334" i="9"/>
  <c r="D332" i="9"/>
  <c r="D327" i="9"/>
  <c r="D326" i="9"/>
  <c r="D320" i="9"/>
  <c r="D318" i="9"/>
  <c r="D312" i="9"/>
  <c r="D311" i="9"/>
  <c r="D306" i="9"/>
  <c r="D304" i="9"/>
  <c r="D299" i="9"/>
  <c r="D296" i="9"/>
  <c r="D291" i="9"/>
  <c r="D290" i="9"/>
  <c r="D284" i="9"/>
  <c r="D283" i="9"/>
  <c r="D278" i="9"/>
  <c r="D275" i="9"/>
  <c r="D270" i="9"/>
  <c r="D268" i="9"/>
  <c r="D263" i="9"/>
  <c r="D262" i="9"/>
  <c r="D256" i="9"/>
  <c r="D254" i="9"/>
  <c r="D248" i="9"/>
  <c r="D247" i="9"/>
  <c r="D242" i="9"/>
  <c r="D240" i="9"/>
  <c r="D235" i="9"/>
  <c r="D232" i="9"/>
  <c r="D227" i="9"/>
  <c r="D226" i="9"/>
  <c r="D220" i="9"/>
  <c r="D219" i="9"/>
  <c r="D214" i="9"/>
  <c r="D211" i="9"/>
  <c r="D206" i="9"/>
  <c r="D204" i="9"/>
  <c r="D199" i="9"/>
  <c r="D198" i="9"/>
  <c r="D192" i="9"/>
  <c r="D190" i="9"/>
  <c r="D184" i="9"/>
  <c r="D183" i="9"/>
  <c r="D178" i="9"/>
  <c r="D176" i="9"/>
  <c r="D171" i="9"/>
  <c r="D168" i="9"/>
  <c r="D163" i="9"/>
  <c r="D162" i="9"/>
  <c r="D156" i="9"/>
  <c r="D155" i="9"/>
  <c r="D151" i="9"/>
  <c r="D150" i="9"/>
  <c r="D146" i="9"/>
  <c r="D144" i="9"/>
  <c r="D2" i="9" a="1"/>
  <c r="D992" i="9" s="1"/>
  <c r="C821" i="9"/>
  <c r="C791" i="9"/>
  <c r="C765" i="9"/>
  <c r="C735" i="9"/>
  <c r="C706" i="9"/>
  <c r="C679" i="9"/>
  <c r="C650" i="9"/>
  <c r="C621" i="9"/>
  <c r="C594" i="9"/>
  <c r="C565" i="9"/>
  <c r="C535" i="9"/>
  <c r="C509" i="9"/>
  <c r="C479" i="9"/>
  <c r="C450" i="9"/>
  <c r="C423" i="9"/>
  <c r="C394" i="9"/>
  <c r="C365" i="9"/>
  <c r="C338" i="9"/>
  <c r="C309" i="9"/>
  <c r="C279" i="9"/>
  <c r="C253" i="9"/>
  <c r="C223" i="9"/>
  <c r="C194" i="9"/>
  <c r="C167" i="9"/>
  <c r="C138" i="9"/>
  <c r="C109" i="9"/>
  <c r="C82" i="9"/>
  <c r="C53" i="9"/>
  <c r="C23" i="9"/>
  <c r="C6" i="9"/>
  <c r="C2" i="9" a="1"/>
  <c r="C842" i="9" s="1"/>
  <c r="B827" i="9"/>
  <c r="B822" i="9"/>
  <c r="B806" i="9"/>
  <c r="B800" i="9"/>
  <c r="B784" i="9"/>
  <c r="B779" i="9"/>
  <c r="B763" i="9"/>
  <c r="B758" i="9"/>
  <c r="B742" i="9"/>
  <c r="B736" i="9"/>
  <c r="B720" i="9"/>
  <c r="B715" i="9"/>
  <c r="B699" i="9"/>
  <c r="B694" i="9"/>
  <c r="B678" i="9"/>
  <c r="B672" i="9"/>
  <c r="B656" i="9"/>
  <c r="B651" i="9"/>
  <c r="B635" i="9"/>
  <c r="B630" i="9"/>
  <c r="B614" i="9"/>
  <c r="B608" i="9"/>
  <c r="B592" i="9"/>
  <c r="B587" i="9"/>
  <c r="B571" i="9"/>
  <c r="B566" i="9"/>
  <c r="B550" i="9"/>
  <c r="B544" i="9"/>
  <c r="B528" i="9"/>
  <c r="B523" i="9"/>
  <c r="B507" i="9"/>
  <c r="B502" i="9"/>
  <c r="B486" i="9"/>
  <c r="B480" i="9"/>
  <c r="B464" i="9"/>
  <c r="B459" i="9"/>
  <c r="B443" i="9"/>
  <c r="B438" i="9"/>
  <c r="B422" i="9"/>
  <c r="B416" i="9"/>
  <c r="B400" i="9"/>
  <c r="B395" i="9"/>
  <c r="B379" i="9"/>
  <c r="B374" i="9"/>
  <c r="B358" i="9"/>
  <c r="B352" i="9"/>
  <c r="B336" i="9"/>
  <c r="B331" i="9"/>
  <c r="B315" i="9"/>
  <c r="B310" i="9"/>
  <c r="B294" i="9"/>
  <c r="B288" i="9"/>
  <c r="B272" i="9"/>
  <c r="B267" i="9"/>
  <c r="B251" i="9"/>
  <c r="B246" i="9"/>
  <c r="B230" i="9"/>
  <c r="B224" i="9"/>
  <c r="B208" i="9"/>
  <c r="B203" i="9"/>
  <c r="B187" i="9"/>
  <c r="B182" i="9"/>
  <c r="B166" i="9"/>
  <c r="B160" i="9"/>
  <c r="B144" i="9"/>
  <c r="B139" i="9"/>
  <c r="B123" i="9"/>
  <c r="B118" i="9"/>
  <c r="B102" i="9"/>
  <c r="B96" i="9"/>
  <c r="B80" i="9"/>
  <c r="B75" i="9"/>
  <c r="B59" i="9"/>
  <c r="B54" i="9"/>
  <c r="B38" i="9"/>
  <c r="B32" i="9"/>
  <c r="B16" i="9"/>
  <c r="B11" i="9"/>
  <c r="B2" i="9" a="1"/>
  <c r="B842" i="9" s="1"/>
  <c r="B22" i="9" l="1"/>
  <c r="B43" i="9"/>
  <c r="B64" i="9"/>
  <c r="B86" i="9"/>
  <c r="B107" i="9"/>
  <c r="B128" i="9"/>
  <c r="B150" i="9"/>
  <c r="B171" i="9"/>
  <c r="B192" i="9"/>
  <c r="B214" i="9"/>
  <c r="B235" i="9"/>
  <c r="B256" i="9"/>
  <c r="B278" i="9"/>
  <c r="B299" i="9"/>
  <c r="B320" i="9"/>
  <c r="B342" i="9"/>
  <c r="B363" i="9"/>
  <c r="B384" i="9"/>
  <c r="B406" i="9"/>
  <c r="B427" i="9"/>
  <c r="B448" i="9"/>
  <c r="B470" i="9"/>
  <c r="B491" i="9"/>
  <c r="B512" i="9"/>
  <c r="B534" i="9"/>
  <c r="B555" i="9"/>
  <c r="B576" i="9"/>
  <c r="B598" i="9"/>
  <c r="B619" i="9"/>
  <c r="B640" i="9"/>
  <c r="B662" i="9"/>
  <c r="B683" i="9"/>
  <c r="B704" i="9"/>
  <c r="B726" i="9"/>
  <c r="B747" i="9"/>
  <c r="B768" i="9"/>
  <c r="B790" i="9"/>
  <c r="B811" i="9"/>
  <c r="B833" i="9"/>
  <c r="C7" i="9"/>
  <c r="C29" i="9"/>
  <c r="C55" i="9"/>
  <c r="C85" i="9"/>
  <c r="C114" i="9"/>
  <c r="C141" i="9"/>
  <c r="C170" i="9"/>
  <c r="C199" i="9"/>
  <c r="C226" i="9"/>
  <c r="C255" i="9"/>
  <c r="C285" i="9"/>
  <c r="C311" i="9"/>
  <c r="C341" i="9"/>
  <c r="C370" i="9"/>
  <c r="C397" i="9"/>
  <c r="C426" i="9"/>
  <c r="C455" i="9"/>
  <c r="C482" i="9"/>
  <c r="C511" i="9"/>
  <c r="C541" i="9"/>
  <c r="C567" i="9"/>
  <c r="C597" i="9"/>
  <c r="C626" i="9"/>
  <c r="C653" i="9"/>
  <c r="C682" i="9"/>
  <c r="C711" i="9"/>
  <c r="C738" i="9"/>
  <c r="C767" i="9"/>
  <c r="C797" i="9"/>
  <c r="C823" i="9"/>
  <c r="B6" i="9"/>
  <c r="B27" i="9"/>
  <c r="B48" i="9"/>
  <c r="B70" i="9"/>
  <c r="B91" i="9"/>
  <c r="B112" i="9"/>
  <c r="B134" i="9"/>
  <c r="B155" i="9"/>
  <c r="B176" i="9"/>
  <c r="B198" i="9"/>
  <c r="B219" i="9"/>
  <c r="B240" i="9"/>
  <c r="B262" i="9"/>
  <c r="B283" i="9"/>
  <c r="B304" i="9"/>
  <c r="B326" i="9"/>
  <c r="B347" i="9"/>
  <c r="B368" i="9"/>
  <c r="B390" i="9"/>
  <c r="B411" i="9"/>
  <c r="B432" i="9"/>
  <c r="B454" i="9"/>
  <c r="B475" i="9"/>
  <c r="B496" i="9"/>
  <c r="B518" i="9"/>
  <c r="B539" i="9"/>
  <c r="B560" i="9"/>
  <c r="B582" i="9"/>
  <c r="B603" i="9"/>
  <c r="B624" i="9"/>
  <c r="B646" i="9"/>
  <c r="B667" i="9"/>
  <c r="B688" i="9"/>
  <c r="B710" i="9"/>
  <c r="B731" i="9"/>
  <c r="B752" i="9"/>
  <c r="B774" i="9"/>
  <c r="B795" i="9"/>
  <c r="B816" i="9"/>
  <c r="C15" i="9"/>
  <c r="C39" i="9"/>
  <c r="C66" i="9"/>
  <c r="C95" i="9"/>
  <c r="C125" i="9"/>
  <c r="C151" i="9"/>
  <c r="C181" i="9"/>
  <c r="C210" i="9"/>
  <c r="C237" i="9"/>
  <c r="C266" i="9"/>
  <c r="C295" i="9"/>
  <c r="C322" i="9"/>
  <c r="C351" i="9"/>
  <c r="C381" i="9"/>
  <c r="C407" i="9"/>
  <c r="C437" i="9"/>
  <c r="C466" i="9"/>
  <c r="C493" i="9"/>
  <c r="C522" i="9"/>
  <c r="C551" i="9"/>
  <c r="C578" i="9"/>
  <c r="C607" i="9"/>
  <c r="C637" i="9"/>
  <c r="C663" i="9"/>
  <c r="C693" i="9"/>
  <c r="C722" i="9"/>
  <c r="C749" i="9"/>
  <c r="C778" i="9"/>
  <c r="C807" i="9"/>
  <c r="C834" i="9"/>
  <c r="C17" i="9"/>
  <c r="C42" i="9"/>
  <c r="C71" i="9"/>
  <c r="C98" i="9"/>
  <c r="C127" i="9"/>
  <c r="C157" i="9"/>
  <c r="C183" i="9"/>
  <c r="C213" i="9"/>
  <c r="C242" i="9"/>
  <c r="C269" i="9"/>
  <c r="C298" i="9"/>
  <c r="C327" i="9"/>
  <c r="C354" i="9"/>
  <c r="C383" i="9"/>
  <c r="C413" i="9"/>
  <c r="C439" i="9"/>
  <c r="C469" i="9"/>
  <c r="C498" i="9"/>
  <c r="C525" i="9"/>
  <c r="C554" i="9"/>
  <c r="C583" i="9"/>
  <c r="C610" i="9"/>
  <c r="C639" i="9"/>
  <c r="C669" i="9"/>
  <c r="C695" i="9"/>
  <c r="C725" i="9"/>
  <c r="C754" i="9"/>
  <c r="C781" i="9"/>
  <c r="C810" i="9"/>
  <c r="C839" i="9"/>
  <c r="D39" i="9"/>
  <c r="B847" i="9"/>
  <c r="B843" i="9"/>
  <c r="B839" i="9"/>
  <c r="B835" i="9"/>
  <c r="B831" i="9"/>
  <c r="B845" i="9"/>
  <c r="B840" i="9"/>
  <c r="B834" i="9"/>
  <c r="B829" i="9"/>
  <c r="B825" i="9"/>
  <c r="B821" i="9"/>
  <c r="B817" i="9"/>
  <c r="B813" i="9"/>
  <c r="B809" i="9"/>
  <c r="B805" i="9"/>
  <c r="B801" i="9"/>
  <c r="B797" i="9"/>
  <c r="B793" i="9"/>
  <c r="B789" i="9"/>
  <c r="B785" i="9"/>
  <c r="B781" i="9"/>
  <c r="B777" i="9"/>
  <c r="B773" i="9"/>
  <c r="B769" i="9"/>
  <c r="B765" i="9"/>
  <c r="B761" i="9"/>
  <c r="B757" i="9"/>
  <c r="B753" i="9"/>
  <c r="B749" i="9"/>
  <c r="B745" i="9"/>
  <c r="B741" i="9"/>
  <c r="B737" i="9"/>
  <c r="B733" i="9"/>
  <c r="B729" i="9"/>
  <c r="B725" i="9"/>
  <c r="B721" i="9"/>
  <c r="B717" i="9"/>
  <c r="B713" i="9"/>
  <c r="B709" i="9"/>
  <c r="B705" i="9"/>
  <c r="B701" i="9"/>
  <c r="B697" i="9"/>
  <c r="B693" i="9"/>
  <c r="B689" i="9"/>
  <c r="B685" i="9"/>
  <c r="B681" i="9"/>
  <c r="B677" i="9"/>
  <c r="B673" i="9"/>
  <c r="B669" i="9"/>
  <c r="B665" i="9"/>
  <c r="B661" i="9"/>
  <c r="B657" i="9"/>
  <c r="B653" i="9"/>
  <c r="B649" i="9"/>
  <c r="B645" i="9"/>
  <c r="B641" i="9"/>
  <c r="B637" i="9"/>
  <c r="B633" i="9"/>
  <c r="B629" i="9"/>
  <c r="B625" i="9"/>
  <c r="B621" i="9"/>
  <c r="B617" i="9"/>
  <c r="B613" i="9"/>
  <c r="B609" i="9"/>
  <c r="B605" i="9"/>
  <c r="B601" i="9"/>
  <c r="B597" i="9"/>
  <c r="B593" i="9"/>
  <c r="B589" i="9"/>
  <c r="B585" i="9"/>
  <c r="B581" i="9"/>
  <c r="B577" i="9"/>
  <c r="B573" i="9"/>
  <c r="B569" i="9"/>
  <c r="B565" i="9"/>
  <c r="B561" i="9"/>
  <c r="B557" i="9"/>
  <c r="B553" i="9"/>
  <c r="B549" i="9"/>
  <c r="B545" i="9"/>
  <c r="B541" i="9"/>
  <c r="B537" i="9"/>
  <c r="B533" i="9"/>
  <c r="B529" i="9"/>
  <c r="B525" i="9"/>
  <c r="B521" i="9"/>
  <c r="B517" i="9"/>
  <c r="B513" i="9"/>
  <c r="B509" i="9"/>
  <c r="B505" i="9"/>
  <c r="B501" i="9"/>
  <c r="B497" i="9"/>
  <c r="B493" i="9"/>
  <c r="B489" i="9"/>
  <c r="B485" i="9"/>
  <c r="B481" i="9"/>
  <c r="B477" i="9"/>
  <c r="B473" i="9"/>
  <c r="B469" i="9"/>
  <c r="B465" i="9"/>
  <c r="B461" i="9"/>
  <c r="B457" i="9"/>
  <c r="B453" i="9"/>
  <c r="B449" i="9"/>
  <c r="B445" i="9"/>
  <c r="B441" i="9"/>
  <c r="B437" i="9"/>
  <c r="B433" i="9"/>
  <c r="B429" i="9"/>
  <c r="B425" i="9"/>
  <c r="B421" i="9"/>
  <c r="B417" i="9"/>
  <c r="B413" i="9"/>
  <c r="B409" i="9"/>
  <c r="B405" i="9"/>
  <c r="B401" i="9"/>
  <c r="B397" i="9"/>
  <c r="B393" i="9"/>
  <c r="B389" i="9"/>
  <c r="B385" i="9"/>
  <c r="B381" i="9"/>
  <c r="B377" i="9"/>
  <c r="B373" i="9"/>
  <c r="B369" i="9"/>
  <c r="B365" i="9"/>
  <c r="B361" i="9"/>
  <c r="B357" i="9"/>
  <c r="B353" i="9"/>
  <c r="B349" i="9"/>
  <c r="B345" i="9"/>
  <c r="B341" i="9"/>
  <c r="B337" i="9"/>
  <c r="B333" i="9"/>
  <c r="B329" i="9"/>
  <c r="B325" i="9"/>
  <c r="B321" i="9"/>
  <c r="B317" i="9"/>
  <c r="B313" i="9"/>
  <c r="B309" i="9"/>
  <c r="B305" i="9"/>
  <c r="B301" i="9"/>
  <c r="B297" i="9"/>
  <c r="B293" i="9"/>
  <c r="B289" i="9"/>
  <c r="B285" i="9"/>
  <c r="B281" i="9"/>
  <c r="B277" i="9"/>
  <c r="B273" i="9"/>
  <c r="B269" i="9"/>
  <c r="B265" i="9"/>
  <c r="B261" i="9"/>
  <c r="B257" i="9"/>
  <c r="B253" i="9"/>
  <c r="B249" i="9"/>
  <c r="B245" i="9"/>
  <c r="B241" i="9"/>
  <c r="B237" i="9"/>
  <c r="B233" i="9"/>
  <c r="B229" i="9"/>
  <c r="B225" i="9"/>
  <c r="B221" i="9"/>
  <c r="B217" i="9"/>
  <c r="B213" i="9"/>
  <c r="B209" i="9"/>
  <c r="B205" i="9"/>
  <c r="B201" i="9"/>
  <c r="B197" i="9"/>
  <c r="B193" i="9"/>
  <c r="B189" i="9"/>
  <c r="B185" i="9"/>
  <c r="B181" i="9"/>
  <c r="B177" i="9"/>
  <c r="B173" i="9"/>
  <c r="B169" i="9"/>
  <c r="B165" i="9"/>
  <c r="B161" i="9"/>
  <c r="B157" i="9"/>
  <c r="B153" i="9"/>
  <c r="B149" i="9"/>
  <c r="B145" i="9"/>
  <c r="B141" i="9"/>
  <c r="B137" i="9"/>
  <c r="B133" i="9"/>
  <c r="B129" i="9"/>
  <c r="B125" i="9"/>
  <c r="B121" i="9"/>
  <c r="B117" i="9"/>
  <c r="B113" i="9"/>
  <c r="B109" i="9"/>
  <c r="B105" i="9"/>
  <c r="B101" i="9"/>
  <c r="B97" i="9"/>
  <c r="B93" i="9"/>
  <c r="B89" i="9"/>
  <c r="B85" i="9"/>
  <c r="B81" i="9"/>
  <c r="B77" i="9"/>
  <c r="B73" i="9"/>
  <c r="B69" i="9"/>
  <c r="B65" i="9"/>
  <c r="B61" i="9"/>
  <c r="B57" i="9"/>
  <c r="B53" i="9"/>
  <c r="B49" i="9"/>
  <c r="B45" i="9"/>
  <c r="B41" i="9"/>
  <c r="B37" i="9"/>
  <c r="B33" i="9"/>
  <c r="B29" i="9"/>
  <c r="B25" i="9"/>
  <c r="B21" i="9"/>
  <c r="B17" i="9"/>
  <c r="B13" i="9"/>
  <c r="B9" i="9"/>
  <c r="B5" i="9"/>
  <c r="B2" i="9"/>
  <c r="B844" i="9"/>
  <c r="B837" i="9"/>
  <c r="B7" i="9"/>
  <c r="D7" i="9" s="1"/>
  <c r="B12" i="9"/>
  <c r="B18" i="9"/>
  <c r="B23" i="9"/>
  <c r="B28" i="9"/>
  <c r="B34" i="9"/>
  <c r="B39" i="9"/>
  <c r="B44" i="9"/>
  <c r="B50" i="9"/>
  <c r="B55" i="9"/>
  <c r="D55" i="9" s="1"/>
  <c r="B60" i="9"/>
  <c r="B66" i="9"/>
  <c r="B71" i="9"/>
  <c r="B76" i="9"/>
  <c r="B82" i="9"/>
  <c r="D82" i="9" s="1"/>
  <c r="B87" i="9"/>
  <c r="B92" i="9"/>
  <c r="B98" i="9"/>
  <c r="B103" i="9"/>
  <c r="B108" i="9"/>
  <c r="B114" i="9"/>
  <c r="D114" i="9" s="1"/>
  <c r="B119" i="9"/>
  <c r="B124" i="9"/>
  <c r="B130" i="9"/>
  <c r="B135" i="9"/>
  <c r="B140" i="9"/>
  <c r="B146" i="9"/>
  <c r="B151" i="9"/>
  <c r="B156" i="9"/>
  <c r="B162" i="9"/>
  <c r="B167" i="9"/>
  <c r="B172" i="9"/>
  <c r="B178" i="9"/>
  <c r="B183" i="9"/>
  <c r="B188" i="9"/>
  <c r="B194" i="9"/>
  <c r="B199" i="9"/>
  <c r="B204" i="9"/>
  <c r="B210" i="9"/>
  <c r="B215" i="9"/>
  <c r="B220" i="9"/>
  <c r="B226" i="9"/>
  <c r="B231" i="9"/>
  <c r="B236" i="9"/>
  <c r="B242" i="9"/>
  <c r="B247" i="9"/>
  <c r="B252" i="9"/>
  <c r="B258" i="9"/>
  <c r="B263" i="9"/>
  <c r="B268" i="9"/>
  <c r="B274" i="9"/>
  <c r="B279" i="9"/>
  <c r="B284" i="9"/>
  <c r="B290" i="9"/>
  <c r="B295" i="9"/>
  <c r="B300" i="9"/>
  <c r="B306" i="9"/>
  <c r="B311" i="9"/>
  <c r="B316" i="9"/>
  <c r="B322" i="9"/>
  <c r="B327" i="9"/>
  <c r="B332" i="9"/>
  <c r="B338" i="9"/>
  <c r="B343" i="9"/>
  <c r="B348" i="9"/>
  <c r="B354" i="9"/>
  <c r="B359" i="9"/>
  <c r="B364" i="9"/>
  <c r="B370" i="9"/>
  <c r="B375" i="9"/>
  <c r="B380" i="9"/>
  <c r="B386" i="9"/>
  <c r="B391" i="9"/>
  <c r="B396" i="9"/>
  <c r="B402" i="9"/>
  <c r="B407" i="9"/>
  <c r="B412" i="9"/>
  <c r="B418" i="9"/>
  <c r="B423" i="9"/>
  <c r="B428" i="9"/>
  <c r="B434" i="9"/>
  <c r="B439" i="9"/>
  <c r="B444" i="9"/>
  <c r="B450" i="9"/>
  <c r="B455" i="9"/>
  <c r="B460" i="9"/>
  <c r="B466" i="9"/>
  <c r="B471" i="9"/>
  <c r="B476" i="9"/>
  <c r="B482" i="9"/>
  <c r="B487" i="9"/>
  <c r="B492" i="9"/>
  <c r="B498" i="9"/>
  <c r="B503" i="9"/>
  <c r="B508" i="9"/>
  <c r="B514" i="9"/>
  <c r="B519" i="9"/>
  <c r="B524" i="9"/>
  <c r="B530" i="9"/>
  <c r="B535" i="9"/>
  <c r="B540" i="9"/>
  <c r="B546" i="9"/>
  <c r="B551" i="9"/>
  <c r="B556" i="9"/>
  <c r="B562" i="9"/>
  <c r="B567" i="9"/>
  <c r="B572" i="9"/>
  <c r="B578" i="9"/>
  <c r="B583" i="9"/>
  <c r="B588" i="9"/>
  <c r="B594" i="9"/>
  <c r="B599" i="9"/>
  <c r="B604" i="9"/>
  <c r="B610" i="9"/>
  <c r="B615" i="9"/>
  <c r="B620" i="9"/>
  <c r="B626" i="9"/>
  <c r="B631" i="9"/>
  <c r="B636" i="9"/>
  <c r="B642" i="9"/>
  <c r="B647" i="9"/>
  <c r="B652" i="9"/>
  <c r="B658" i="9"/>
  <c r="B663" i="9"/>
  <c r="B668" i="9"/>
  <c r="B674" i="9"/>
  <c r="B679" i="9"/>
  <c r="B684" i="9"/>
  <c r="B690" i="9"/>
  <c r="B695" i="9"/>
  <c r="B700" i="9"/>
  <c r="B706" i="9"/>
  <c r="B711" i="9"/>
  <c r="B716" i="9"/>
  <c r="B722" i="9"/>
  <c r="B727" i="9"/>
  <c r="B732" i="9"/>
  <c r="B738" i="9"/>
  <c r="B743" i="9"/>
  <c r="B748" i="9"/>
  <c r="B754" i="9"/>
  <c r="B759" i="9"/>
  <c r="B764" i="9"/>
  <c r="B770" i="9"/>
  <c r="B775" i="9"/>
  <c r="B780" i="9"/>
  <c r="B786" i="9"/>
  <c r="B791" i="9"/>
  <c r="B796" i="9"/>
  <c r="B802" i="9"/>
  <c r="B807" i="9"/>
  <c r="B812" i="9"/>
  <c r="B818" i="9"/>
  <c r="B823" i="9"/>
  <c r="B828" i="9"/>
  <c r="B836" i="9"/>
  <c r="B846" i="9"/>
  <c r="D98" i="9"/>
  <c r="B3" i="9"/>
  <c r="B8" i="9"/>
  <c r="B14" i="9"/>
  <c r="B19" i="9"/>
  <c r="B24" i="9"/>
  <c r="B30" i="9"/>
  <c r="B35" i="9"/>
  <c r="B40" i="9"/>
  <c r="B46" i="9"/>
  <c r="B51" i="9"/>
  <c r="B56" i="9"/>
  <c r="B62" i="9"/>
  <c r="B67" i="9"/>
  <c r="B72" i="9"/>
  <c r="B78" i="9"/>
  <c r="B83" i="9"/>
  <c r="B88" i="9"/>
  <c r="B94" i="9"/>
  <c r="B99" i="9"/>
  <c r="B104" i="9"/>
  <c r="B110" i="9"/>
  <c r="B115" i="9"/>
  <c r="B120" i="9"/>
  <c r="B126" i="9"/>
  <c r="B131" i="9"/>
  <c r="B136" i="9"/>
  <c r="B142" i="9"/>
  <c r="B147" i="9"/>
  <c r="B152" i="9"/>
  <c r="B158" i="9"/>
  <c r="B163" i="9"/>
  <c r="B168" i="9"/>
  <c r="B174" i="9"/>
  <c r="B179" i="9"/>
  <c r="B184" i="9"/>
  <c r="B190" i="9"/>
  <c r="B195" i="9"/>
  <c r="B200" i="9"/>
  <c r="B206" i="9"/>
  <c r="B211" i="9"/>
  <c r="B216" i="9"/>
  <c r="B222" i="9"/>
  <c r="B227" i="9"/>
  <c r="B232" i="9"/>
  <c r="B238" i="9"/>
  <c r="B243" i="9"/>
  <c r="B248" i="9"/>
  <c r="B254" i="9"/>
  <c r="B259" i="9"/>
  <c r="B264" i="9"/>
  <c r="B270" i="9"/>
  <c r="B275" i="9"/>
  <c r="B280" i="9"/>
  <c r="B286" i="9"/>
  <c r="B291" i="9"/>
  <c r="B296" i="9"/>
  <c r="B302" i="9"/>
  <c r="B307" i="9"/>
  <c r="B312" i="9"/>
  <c r="B318" i="9"/>
  <c r="B323" i="9"/>
  <c r="B328" i="9"/>
  <c r="B334" i="9"/>
  <c r="B339" i="9"/>
  <c r="B344" i="9"/>
  <c r="B350" i="9"/>
  <c r="B355" i="9"/>
  <c r="B360" i="9"/>
  <c r="B366" i="9"/>
  <c r="B371" i="9"/>
  <c r="B376" i="9"/>
  <c r="B382" i="9"/>
  <c r="B387" i="9"/>
  <c r="B392" i="9"/>
  <c r="B398" i="9"/>
  <c r="B403" i="9"/>
  <c r="B408" i="9"/>
  <c r="B414" i="9"/>
  <c r="B419" i="9"/>
  <c r="B424" i="9"/>
  <c r="B430" i="9"/>
  <c r="B435" i="9"/>
  <c r="B440" i="9"/>
  <c r="B446" i="9"/>
  <c r="B451" i="9"/>
  <c r="B456" i="9"/>
  <c r="B462" i="9"/>
  <c r="B467" i="9"/>
  <c r="B472" i="9"/>
  <c r="B478" i="9"/>
  <c r="B483" i="9"/>
  <c r="B488" i="9"/>
  <c r="B494" i="9"/>
  <c r="B499" i="9"/>
  <c r="B504" i="9"/>
  <c r="B510" i="9"/>
  <c r="B515" i="9"/>
  <c r="B520" i="9"/>
  <c r="B526" i="9"/>
  <c r="B531" i="9"/>
  <c r="B536" i="9"/>
  <c r="B542" i="9"/>
  <c r="B547" i="9"/>
  <c r="B552" i="9"/>
  <c r="B558" i="9"/>
  <c r="B563" i="9"/>
  <c r="B568" i="9"/>
  <c r="B574" i="9"/>
  <c r="B579" i="9"/>
  <c r="B584" i="9"/>
  <c r="B590" i="9"/>
  <c r="B595" i="9"/>
  <c r="B600" i="9"/>
  <c r="B606" i="9"/>
  <c r="B611" i="9"/>
  <c r="B616" i="9"/>
  <c r="B622" i="9"/>
  <c r="B627" i="9"/>
  <c r="B632" i="9"/>
  <c r="B638" i="9"/>
  <c r="B643" i="9"/>
  <c r="B648" i="9"/>
  <c r="B654" i="9"/>
  <c r="B659" i="9"/>
  <c r="B664" i="9"/>
  <c r="B670" i="9"/>
  <c r="B675" i="9"/>
  <c r="B680" i="9"/>
  <c r="B686" i="9"/>
  <c r="B691" i="9"/>
  <c r="B696" i="9"/>
  <c r="B702" i="9"/>
  <c r="B707" i="9"/>
  <c r="B712" i="9"/>
  <c r="B718" i="9"/>
  <c r="B723" i="9"/>
  <c r="B728" i="9"/>
  <c r="B734" i="9"/>
  <c r="B739" i="9"/>
  <c r="B744" i="9"/>
  <c r="B750" i="9"/>
  <c r="B755" i="9"/>
  <c r="B760" i="9"/>
  <c r="B766" i="9"/>
  <c r="B771" i="9"/>
  <c r="B776" i="9"/>
  <c r="B782" i="9"/>
  <c r="B787" i="9"/>
  <c r="B792" i="9"/>
  <c r="B798" i="9"/>
  <c r="B803" i="9"/>
  <c r="B808" i="9"/>
  <c r="B814" i="9"/>
  <c r="B819" i="9"/>
  <c r="B824" i="9"/>
  <c r="B830" i="9"/>
  <c r="B838" i="9"/>
  <c r="C2" i="9"/>
  <c r="C10" i="9"/>
  <c r="C21" i="9"/>
  <c r="C31" i="9"/>
  <c r="C45" i="9"/>
  <c r="C61" i="9"/>
  <c r="C74" i="9"/>
  <c r="C87" i="9"/>
  <c r="C103" i="9"/>
  <c r="C117" i="9"/>
  <c r="C130" i="9"/>
  <c r="D130" i="9" s="1"/>
  <c r="C146" i="9"/>
  <c r="C159" i="9"/>
  <c r="C173" i="9"/>
  <c r="C189" i="9"/>
  <c r="C202" i="9"/>
  <c r="C215" i="9"/>
  <c r="C231" i="9"/>
  <c r="C245" i="9"/>
  <c r="C258" i="9"/>
  <c r="C274" i="9"/>
  <c r="C287" i="9"/>
  <c r="C301" i="9"/>
  <c r="C317" i="9"/>
  <c r="C330" i="9"/>
  <c r="C343" i="9"/>
  <c r="C359" i="9"/>
  <c r="C373" i="9"/>
  <c r="C386" i="9"/>
  <c r="C402" i="9"/>
  <c r="C415" i="9"/>
  <c r="C429" i="9"/>
  <c r="C445" i="9"/>
  <c r="C458" i="9"/>
  <c r="C471" i="9"/>
  <c r="C487" i="9"/>
  <c r="C501" i="9"/>
  <c r="C514" i="9"/>
  <c r="C530" i="9"/>
  <c r="C543" i="9"/>
  <c r="C557" i="9"/>
  <c r="C573" i="9"/>
  <c r="C586" i="9"/>
  <c r="C599" i="9"/>
  <c r="C615" i="9"/>
  <c r="C629" i="9"/>
  <c r="C642" i="9"/>
  <c r="C658" i="9"/>
  <c r="C671" i="9"/>
  <c r="C685" i="9"/>
  <c r="C701" i="9"/>
  <c r="C714" i="9"/>
  <c r="C727" i="9"/>
  <c r="C743" i="9"/>
  <c r="C757" i="9"/>
  <c r="C770" i="9"/>
  <c r="C786" i="9"/>
  <c r="C799" i="9"/>
  <c r="C813" i="9"/>
  <c r="C829" i="9"/>
  <c r="D23" i="9"/>
  <c r="D71" i="9"/>
  <c r="B4" i="9"/>
  <c r="B10" i="9"/>
  <c r="B15" i="9"/>
  <c r="D15" i="9" s="1"/>
  <c r="B20" i="9"/>
  <c r="B26" i="9"/>
  <c r="B31" i="9"/>
  <c r="B36" i="9"/>
  <c r="B42" i="9"/>
  <c r="B47" i="9"/>
  <c r="B52" i="9"/>
  <c r="B58" i="9"/>
  <c r="B63" i="9"/>
  <c r="B68" i="9"/>
  <c r="B74" i="9"/>
  <c r="B79" i="9"/>
  <c r="B84" i="9"/>
  <c r="B90" i="9"/>
  <c r="B95" i="9"/>
  <c r="B100" i="9"/>
  <c r="B106" i="9"/>
  <c r="B111" i="9"/>
  <c r="B116" i="9"/>
  <c r="B122" i="9"/>
  <c r="B127" i="9"/>
  <c r="B132" i="9"/>
  <c r="B138" i="9"/>
  <c r="B143" i="9"/>
  <c r="B148" i="9"/>
  <c r="B154" i="9"/>
  <c r="B159" i="9"/>
  <c r="B164" i="9"/>
  <c r="B170" i="9"/>
  <c r="B175" i="9"/>
  <c r="B180" i="9"/>
  <c r="B186" i="9"/>
  <c r="B191" i="9"/>
  <c r="B196" i="9"/>
  <c r="B202" i="9"/>
  <c r="B207" i="9"/>
  <c r="B212" i="9"/>
  <c r="B218" i="9"/>
  <c r="B223" i="9"/>
  <c r="B228" i="9"/>
  <c r="B234" i="9"/>
  <c r="B239" i="9"/>
  <c r="B244" i="9"/>
  <c r="B250" i="9"/>
  <c r="B255" i="9"/>
  <c r="B260" i="9"/>
  <c r="B266" i="9"/>
  <c r="B271" i="9"/>
  <c r="B276" i="9"/>
  <c r="B282" i="9"/>
  <c r="B287" i="9"/>
  <c r="B292" i="9"/>
  <c r="B298" i="9"/>
  <c r="B303" i="9"/>
  <c r="B308" i="9"/>
  <c r="B314" i="9"/>
  <c r="B319" i="9"/>
  <c r="B324" i="9"/>
  <c r="B330" i="9"/>
  <c r="B335" i="9"/>
  <c r="B340" i="9"/>
  <c r="B346" i="9"/>
  <c r="B351" i="9"/>
  <c r="B356" i="9"/>
  <c r="B362" i="9"/>
  <c r="B367" i="9"/>
  <c r="B372" i="9"/>
  <c r="B378" i="9"/>
  <c r="B383" i="9"/>
  <c r="B388" i="9"/>
  <c r="B394" i="9"/>
  <c r="B399" i="9"/>
  <c r="B404" i="9"/>
  <c r="B410" i="9"/>
  <c r="B415" i="9"/>
  <c r="B420" i="9"/>
  <c r="B426" i="9"/>
  <c r="B431" i="9"/>
  <c r="B436" i="9"/>
  <c r="B442" i="9"/>
  <c r="B447" i="9"/>
  <c r="B452" i="9"/>
  <c r="B458" i="9"/>
  <c r="B463" i="9"/>
  <c r="B468" i="9"/>
  <c r="B474" i="9"/>
  <c r="B479" i="9"/>
  <c r="B484" i="9"/>
  <c r="B490" i="9"/>
  <c r="B495" i="9"/>
  <c r="B500" i="9"/>
  <c r="B506" i="9"/>
  <c r="B511" i="9"/>
  <c r="B516" i="9"/>
  <c r="B522" i="9"/>
  <c r="B527" i="9"/>
  <c r="B532" i="9"/>
  <c r="B538" i="9"/>
  <c r="B543" i="9"/>
  <c r="B548" i="9"/>
  <c r="B554" i="9"/>
  <c r="B559" i="9"/>
  <c r="B564" i="9"/>
  <c r="B570" i="9"/>
  <c r="B575" i="9"/>
  <c r="B580" i="9"/>
  <c r="B586" i="9"/>
  <c r="B591" i="9"/>
  <c r="B596" i="9"/>
  <c r="B602" i="9"/>
  <c r="B607" i="9"/>
  <c r="B612" i="9"/>
  <c r="B618" i="9"/>
  <c r="B623" i="9"/>
  <c r="B628" i="9"/>
  <c r="B634" i="9"/>
  <c r="B639" i="9"/>
  <c r="B644" i="9"/>
  <c r="B650" i="9"/>
  <c r="B655" i="9"/>
  <c r="B660" i="9"/>
  <c r="B666" i="9"/>
  <c r="B671" i="9"/>
  <c r="B676" i="9"/>
  <c r="B682" i="9"/>
  <c r="B687" i="9"/>
  <c r="B692" i="9"/>
  <c r="B698" i="9"/>
  <c r="B703" i="9"/>
  <c r="B708" i="9"/>
  <c r="B714" i="9"/>
  <c r="B719" i="9"/>
  <c r="B724" i="9"/>
  <c r="B730" i="9"/>
  <c r="B735" i="9"/>
  <c r="B740" i="9"/>
  <c r="B746" i="9"/>
  <c r="B751" i="9"/>
  <c r="B756" i="9"/>
  <c r="B762" i="9"/>
  <c r="B767" i="9"/>
  <c r="B772" i="9"/>
  <c r="B778" i="9"/>
  <c r="B783" i="9"/>
  <c r="B788" i="9"/>
  <c r="B794" i="9"/>
  <c r="B799" i="9"/>
  <c r="B804" i="9"/>
  <c r="B810" i="9"/>
  <c r="B815" i="9"/>
  <c r="B820" i="9"/>
  <c r="B826" i="9"/>
  <c r="B832" i="9"/>
  <c r="B841" i="9"/>
  <c r="C844" i="9"/>
  <c r="C840" i="9"/>
  <c r="C836" i="9"/>
  <c r="C832" i="9"/>
  <c r="C828" i="9"/>
  <c r="C824" i="9"/>
  <c r="C820" i="9"/>
  <c r="C816" i="9"/>
  <c r="C812" i="9"/>
  <c r="C808" i="9"/>
  <c r="C804" i="9"/>
  <c r="C800" i="9"/>
  <c r="C796" i="9"/>
  <c r="C792" i="9"/>
  <c r="C788" i="9"/>
  <c r="C784" i="9"/>
  <c r="C780" i="9"/>
  <c r="C776" i="9"/>
  <c r="C772" i="9"/>
  <c r="C768" i="9"/>
  <c r="C764" i="9"/>
  <c r="C760" i="9"/>
  <c r="C756" i="9"/>
  <c r="C752" i="9"/>
  <c r="C748" i="9"/>
  <c r="C744" i="9"/>
  <c r="C740" i="9"/>
  <c r="C736" i="9"/>
  <c r="C732" i="9"/>
  <c r="C728" i="9"/>
  <c r="C724" i="9"/>
  <c r="C720" i="9"/>
  <c r="C716" i="9"/>
  <c r="C712" i="9"/>
  <c r="C708" i="9"/>
  <c r="C704" i="9"/>
  <c r="C700" i="9"/>
  <c r="C696" i="9"/>
  <c r="C692" i="9"/>
  <c r="C688" i="9"/>
  <c r="C684" i="9"/>
  <c r="C680" i="9"/>
  <c r="C676" i="9"/>
  <c r="C672" i="9"/>
  <c r="C668" i="9"/>
  <c r="C664" i="9"/>
  <c r="C660" i="9"/>
  <c r="C656" i="9"/>
  <c r="C652" i="9"/>
  <c r="C648" i="9"/>
  <c r="C644" i="9"/>
  <c r="C640" i="9"/>
  <c r="C636" i="9"/>
  <c r="C632" i="9"/>
  <c r="C628" i="9"/>
  <c r="C624" i="9"/>
  <c r="C620" i="9"/>
  <c r="C616" i="9"/>
  <c r="C612" i="9"/>
  <c r="C608" i="9"/>
  <c r="C604" i="9"/>
  <c r="C600" i="9"/>
  <c r="C596" i="9"/>
  <c r="C592" i="9"/>
  <c r="C588" i="9"/>
  <c r="C584" i="9"/>
  <c r="C580" i="9"/>
  <c r="C576" i="9"/>
  <c r="C572" i="9"/>
  <c r="C568" i="9"/>
  <c r="C564" i="9"/>
  <c r="C560" i="9"/>
  <c r="C556" i="9"/>
  <c r="C552" i="9"/>
  <c r="C548" i="9"/>
  <c r="C544" i="9"/>
  <c r="C540" i="9"/>
  <c r="C536" i="9"/>
  <c r="C532" i="9"/>
  <c r="C528" i="9"/>
  <c r="C524" i="9"/>
  <c r="C520" i="9"/>
  <c r="C516" i="9"/>
  <c r="C512" i="9"/>
  <c r="C508" i="9"/>
  <c r="C504" i="9"/>
  <c r="C500" i="9"/>
  <c r="C496" i="9"/>
  <c r="C492" i="9"/>
  <c r="C488" i="9"/>
  <c r="C484" i="9"/>
  <c r="C480" i="9"/>
  <c r="C476" i="9"/>
  <c r="C472" i="9"/>
  <c r="C468" i="9"/>
  <c r="C464" i="9"/>
  <c r="C460" i="9"/>
  <c r="C456" i="9"/>
  <c r="C452" i="9"/>
  <c r="C448" i="9"/>
  <c r="C444" i="9"/>
  <c r="C440" i="9"/>
  <c r="C436" i="9"/>
  <c r="C432" i="9"/>
  <c r="C428" i="9"/>
  <c r="C424" i="9"/>
  <c r="C420" i="9"/>
  <c r="C416" i="9"/>
  <c r="C412" i="9"/>
  <c r="C408" i="9"/>
  <c r="C404" i="9"/>
  <c r="C400" i="9"/>
  <c r="C396" i="9"/>
  <c r="C392" i="9"/>
  <c r="C388" i="9"/>
  <c r="C384" i="9"/>
  <c r="C380" i="9"/>
  <c r="C376" i="9"/>
  <c r="C372" i="9"/>
  <c r="C368" i="9"/>
  <c r="C364" i="9"/>
  <c r="C360" i="9"/>
  <c r="C356" i="9"/>
  <c r="C352" i="9"/>
  <c r="C348" i="9"/>
  <c r="C344" i="9"/>
  <c r="C340" i="9"/>
  <c r="C336" i="9"/>
  <c r="C332" i="9"/>
  <c r="C328" i="9"/>
  <c r="C324" i="9"/>
  <c r="C320" i="9"/>
  <c r="C316" i="9"/>
  <c r="C312" i="9"/>
  <c r="C308" i="9"/>
  <c r="C304" i="9"/>
  <c r="C300" i="9"/>
  <c r="C296" i="9"/>
  <c r="C292" i="9"/>
  <c r="C288" i="9"/>
  <c r="C284" i="9"/>
  <c r="C280" i="9"/>
  <c r="C276" i="9"/>
  <c r="C272" i="9"/>
  <c r="C268" i="9"/>
  <c r="C264" i="9"/>
  <c r="C260" i="9"/>
  <c r="C256" i="9"/>
  <c r="C252" i="9"/>
  <c r="C248" i="9"/>
  <c r="C244" i="9"/>
  <c r="C240" i="9"/>
  <c r="C236" i="9"/>
  <c r="C232" i="9"/>
  <c r="C228" i="9"/>
  <c r="C224" i="9"/>
  <c r="C220" i="9"/>
  <c r="C216" i="9"/>
  <c r="C212" i="9"/>
  <c r="C208" i="9"/>
  <c r="C204" i="9"/>
  <c r="C200" i="9"/>
  <c r="C196" i="9"/>
  <c r="C192" i="9"/>
  <c r="C188" i="9"/>
  <c r="C184" i="9"/>
  <c r="C180" i="9"/>
  <c r="C176" i="9"/>
  <c r="C172" i="9"/>
  <c r="C168" i="9"/>
  <c r="C164" i="9"/>
  <c r="C160" i="9"/>
  <c r="C156" i="9"/>
  <c r="C152" i="9"/>
  <c r="C148" i="9"/>
  <c r="C144" i="9"/>
  <c r="C140" i="9"/>
  <c r="C136" i="9"/>
  <c r="C132" i="9"/>
  <c r="C128" i="9"/>
  <c r="D128" i="9" s="1"/>
  <c r="C124" i="9"/>
  <c r="D124" i="9" s="1"/>
  <c r="C120" i="9"/>
  <c r="C116" i="9"/>
  <c r="C112" i="9"/>
  <c r="D112" i="9" s="1"/>
  <c r="C108" i="9"/>
  <c r="D108" i="9" s="1"/>
  <c r="C104" i="9"/>
  <c r="C100" i="9"/>
  <c r="C96" i="9"/>
  <c r="D96" i="9" s="1"/>
  <c r="C92" i="9"/>
  <c r="D92" i="9" s="1"/>
  <c r="C88" i="9"/>
  <c r="C84" i="9"/>
  <c r="C80" i="9"/>
  <c r="D80" i="9" s="1"/>
  <c r="C76" i="9"/>
  <c r="D76" i="9" s="1"/>
  <c r="C72" i="9"/>
  <c r="D72" i="9" s="1"/>
  <c r="C68" i="9"/>
  <c r="C64" i="9"/>
  <c r="D64" i="9" s="1"/>
  <c r="C60" i="9"/>
  <c r="D60" i="9" s="1"/>
  <c r="C56" i="9"/>
  <c r="C52" i="9"/>
  <c r="D52" i="9" s="1"/>
  <c r="C48" i="9"/>
  <c r="D48" i="9" s="1"/>
  <c r="C44" i="9"/>
  <c r="D44" i="9" s="1"/>
  <c r="C40" i="9"/>
  <c r="D40" i="9" s="1"/>
  <c r="C36" i="9"/>
  <c r="D36" i="9" s="1"/>
  <c r="C32" i="9"/>
  <c r="D32" i="9" s="1"/>
  <c r="C28" i="9"/>
  <c r="D28" i="9" s="1"/>
  <c r="C24" i="9"/>
  <c r="D24" i="9" s="1"/>
  <c r="C20" i="9"/>
  <c r="D20" i="9" s="1"/>
  <c r="C16" i="9"/>
  <c r="D16" i="9" s="1"/>
  <c r="C12" i="9"/>
  <c r="D12" i="9" s="1"/>
  <c r="C8" i="9"/>
  <c r="D8" i="9" s="1"/>
  <c r="C4" i="9"/>
  <c r="D4" i="9" s="1"/>
  <c r="C846" i="9"/>
  <c r="C841" i="9"/>
  <c r="C835" i="9"/>
  <c r="C830" i="9"/>
  <c r="C825" i="9"/>
  <c r="C819" i="9"/>
  <c r="C814" i="9"/>
  <c r="C809" i="9"/>
  <c r="C803" i="9"/>
  <c r="C798" i="9"/>
  <c r="C793" i="9"/>
  <c r="C787" i="9"/>
  <c r="C782" i="9"/>
  <c r="C777" i="9"/>
  <c r="C771" i="9"/>
  <c r="C766" i="9"/>
  <c r="C761" i="9"/>
  <c r="C755" i="9"/>
  <c r="C750" i="9"/>
  <c r="C745" i="9"/>
  <c r="C739" i="9"/>
  <c r="C734" i="9"/>
  <c r="C729" i="9"/>
  <c r="C723" i="9"/>
  <c r="C718" i="9"/>
  <c r="C713" i="9"/>
  <c r="C707" i="9"/>
  <c r="C702" i="9"/>
  <c r="C697" i="9"/>
  <c r="C691" i="9"/>
  <c r="C686" i="9"/>
  <c r="C681" i="9"/>
  <c r="C675" i="9"/>
  <c r="C670" i="9"/>
  <c r="C665" i="9"/>
  <c r="C659" i="9"/>
  <c r="C654" i="9"/>
  <c r="C649" i="9"/>
  <c r="C643" i="9"/>
  <c r="C638" i="9"/>
  <c r="C633" i="9"/>
  <c r="C627" i="9"/>
  <c r="C622" i="9"/>
  <c r="C617" i="9"/>
  <c r="C611" i="9"/>
  <c r="C606" i="9"/>
  <c r="C601" i="9"/>
  <c r="C595" i="9"/>
  <c r="C590" i="9"/>
  <c r="C585" i="9"/>
  <c r="C579" i="9"/>
  <c r="C574" i="9"/>
  <c r="C569" i="9"/>
  <c r="C563" i="9"/>
  <c r="C558" i="9"/>
  <c r="C553" i="9"/>
  <c r="C547" i="9"/>
  <c r="C542" i="9"/>
  <c r="C537" i="9"/>
  <c r="C531" i="9"/>
  <c r="C526" i="9"/>
  <c r="C521" i="9"/>
  <c r="C515" i="9"/>
  <c r="C510" i="9"/>
  <c r="C505" i="9"/>
  <c r="C499" i="9"/>
  <c r="C494" i="9"/>
  <c r="C489" i="9"/>
  <c r="C483" i="9"/>
  <c r="C478" i="9"/>
  <c r="C473" i="9"/>
  <c r="C467" i="9"/>
  <c r="C462" i="9"/>
  <c r="C457" i="9"/>
  <c r="C451" i="9"/>
  <c r="C446" i="9"/>
  <c r="C441" i="9"/>
  <c r="C435" i="9"/>
  <c r="C430" i="9"/>
  <c r="C425" i="9"/>
  <c r="C419" i="9"/>
  <c r="C414" i="9"/>
  <c r="C409" i="9"/>
  <c r="C403" i="9"/>
  <c r="C398" i="9"/>
  <c r="C393" i="9"/>
  <c r="C387" i="9"/>
  <c r="C382" i="9"/>
  <c r="C377" i="9"/>
  <c r="C371" i="9"/>
  <c r="C366" i="9"/>
  <c r="C361" i="9"/>
  <c r="C355" i="9"/>
  <c r="C350" i="9"/>
  <c r="C345" i="9"/>
  <c r="C339" i="9"/>
  <c r="C334" i="9"/>
  <c r="C329" i="9"/>
  <c r="C323" i="9"/>
  <c r="C318" i="9"/>
  <c r="C313" i="9"/>
  <c r="C307" i="9"/>
  <c r="C302" i="9"/>
  <c r="C297" i="9"/>
  <c r="C291" i="9"/>
  <c r="C286" i="9"/>
  <c r="C281" i="9"/>
  <c r="C275" i="9"/>
  <c r="C270" i="9"/>
  <c r="C265" i="9"/>
  <c r="C259" i="9"/>
  <c r="C254" i="9"/>
  <c r="C249" i="9"/>
  <c r="C243" i="9"/>
  <c r="C238" i="9"/>
  <c r="C233" i="9"/>
  <c r="C227" i="9"/>
  <c r="C222" i="9"/>
  <c r="C217" i="9"/>
  <c r="C211" i="9"/>
  <c r="C206" i="9"/>
  <c r="C201" i="9"/>
  <c r="C195" i="9"/>
  <c r="C190" i="9"/>
  <c r="C185" i="9"/>
  <c r="C179" i="9"/>
  <c r="C174" i="9"/>
  <c r="C169" i="9"/>
  <c r="C163" i="9"/>
  <c r="C158" i="9"/>
  <c r="C153" i="9"/>
  <c r="C147" i="9"/>
  <c r="C142" i="9"/>
  <c r="C137" i="9"/>
  <c r="C131" i="9"/>
  <c r="C126" i="9"/>
  <c r="C121" i="9"/>
  <c r="C115" i="9"/>
  <c r="C110" i="9"/>
  <c r="C105" i="9"/>
  <c r="C99" i="9"/>
  <c r="C94" i="9"/>
  <c r="C89" i="9"/>
  <c r="C83" i="9"/>
  <c r="C78" i="9"/>
  <c r="C73" i="9"/>
  <c r="D73" i="9" s="1"/>
  <c r="C67" i="9"/>
  <c r="D67" i="9" s="1"/>
  <c r="C62" i="9"/>
  <c r="C57" i="9"/>
  <c r="C51" i="9"/>
  <c r="D51" i="9" s="1"/>
  <c r="C46" i="9"/>
  <c r="C41" i="9"/>
  <c r="C35" i="9"/>
  <c r="D35" i="9" s="1"/>
  <c r="C30" i="9"/>
  <c r="C25" i="9"/>
  <c r="C19" i="9"/>
  <c r="D19" i="9" s="1"/>
  <c r="C14" i="9"/>
  <c r="C9" i="9"/>
  <c r="D9" i="9" s="1"/>
  <c r="C3" i="9"/>
  <c r="D3" i="9" s="1"/>
  <c r="C843" i="9"/>
  <c r="C838" i="9"/>
  <c r="C833" i="9"/>
  <c r="C827" i="9"/>
  <c r="C822" i="9"/>
  <c r="C817" i="9"/>
  <c r="C811" i="9"/>
  <c r="C806" i="9"/>
  <c r="C801" i="9"/>
  <c r="C795" i="9"/>
  <c r="C790" i="9"/>
  <c r="C785" i="9"/>
  <c r="C779" i="9"/>
  <c r="C774" i="9"/>
  <c r="C769" i="9"/>
  <c r="C763" i="9"/>
  <c r="C758" i="9"/>
  <c r="C753" i="9"/>
  <c r="C747" i="9"/>
  <c r="C742" i="9"/>
  <c r="C737" i="9"/>
  <c r="C731" i="9"/>
  <c r="C726" i="9"/>
  <c r="C721" i="9"/>
  <c r="C715" i="9"/>
  <c r="C710" i="9"/>
  <c r="C705" i="9"/>
  <c r="C699" i="9"/>
  <c r="C694" i="9"/>
  <c r="C689" i="9"/>
  <c r="C683" i="9"/>
  <c r="C678" i="9"/>
  <c r="C673" i="9"/>
  <c r="C667" i="9"/>
  <c r="C662" i="9"/>
  <c r="C657" i="9"/>
  <c r="C651" i="9"/>
  <c r="C646" i="9"/>
  <c r="C641" i="9"/>
  <c r="C635" i="9"/>
  <c r="C630" i="9"/>
  <c r="C625" i="9"/>
  <c r="C619" i="9"/>
  <c r="C614" i="9"/>
  <c r="C609" i="9"/>
  <c r="C603" i="9"/>
  <c r="C598" i="9"/>
  <c r="C593" i="9"/>
  <c r="C587" i="9"/>
  <c r="C582" i="9"/>
  <c r="C577" i="9"/>
  <c r="C571" i="9"/>
  <c r="C566" i="9"/>
  <c r="C561" i="9"/>
  <c r="C555" i="9"/>
  <c r="C550" i="9"/>
  <c r="C545" i="9"/>
  <c r="C539" i="9"/>
  <c r="C534" i="9"/>
  <c r="C529" i="9"/>
  <c r="C523" i="9"/>
  <c r="C518" i="9"/>
  <c r="C513" i="9"/>
  <c r="C507" i="9"/>
  <c r="C502" i="9"/>
  <c r="C497" i="9"/>
  <c r="C491" i="9"/>
  <c r="C486" i="9"/>
  <c r="C481" i="9"/>
  <c r="C475" i="9"/>
  <c r="C470" i="9"/>
  <c r="C465" i="9"/>
  <c r="C459" i="9"/>
  <c r="C454" i="9"/>
  <c r="C449" i="9"/>
  <c r="C443" i="9"/>
  <c r="C438" i="9"/>
  <c r="C433" i="9"/>
  <c r="C427" i="9"/>
  <c r="C422" i="9"/>
  <c r="C417" i="9"/>
  <c r="C411" i="9"/>
  <c r="C406" i="9"/>
  <c r="C401" i="9"/>
  <c r="C395" i="9"/>
  <c r="C390" i="9"/>
  <c r="C385" i="9"/>
  <c r="C379" i="9"/>
  <c r="C374" i="9"/>
  <c r="C369" i="9"/>
  <c r="C363" i="9"/>
  <c r="C358" i="9"/>
  <c r="C353" i="9"/>
  <c r="C347" i="9"/>
  <c r="C342" i="9"/>
  <c r="C337" i="9"/>
  <c r="C331" i="9"/>
  <c r="C326" i="9"/>
  <c r="C321" i="9"/>
  <c r="C315" i="9"/>
  <c r="C310" i="9"/>
  <c r="C305" i="9"/>
  <c r="C299" i="9"/>
  <c r="C294" i="9"/>
  <c r="C289" i="9"/>
  <c r="C283" i="9"/>
  <c r="C278" i="9"/>
  <c r="C273" i="9"/>
  <c r="C267" i="9"/>
  <c r="C262" i="9"/>
  <c r="C257" i="9"/>
  <c r="C251" i="9"/>
  <c r="C246" i="9"/>
  <c r="C241" i="9"/>
  <c r="C235" i="9"/>
  <c r="C230" i="9"/>
  <c r="C225" i="9"/>
  <c r="C219" i="9"/>
  <c r="C214" i="9"/>
  <c r="C209" i="9"/>
  <c r="C203" i="9"/>
  <c r="C198" i="9"/>
  <c r="C193" i="9"/>
  <c r="C187" i="9"/>
  <c r="C182" i="9"/>
  <c r="C177" i="9"/>
  <c r="C171" i="9"/>
  <c r="C166" i="9"/>
  <c r="C161" i="9"/>
  <c r="C155" i="9"/>
  <c r="C150" i="9"/>
  <c r="C145" i="9"/>
  <c r="C139" i="9"/>
  <c r="D139" i="9" s="1"/>
  <c r="C134" i="9"/>
  <c r="D134" i="9" s="1"/>
  <c r="C129" i="9"/>
  <c r="C123" i="9"/>
  <c r="D123" i="9" s="1"/>
  <c r="C118" i="9"/>
  <c r="D118" i="9" s="1"/>
  <c r="C113" i="9"/>
  <c r="C107" i="9"/>
  <c r="D107" i="9" s="1"/>
  <c r="C102" i="9"/>
  <c r="D102" i="9" s="1"/>
  <c r="C97" i="9"/>
  <c r="C91" i="9"/>
  <c r="D91" i="9" s="1"/>
  <c r="C86" i="9"/>
  <c r="D86" i="9" s="1"/>
  <c r="C81" i="9"/>
  <c r="C75" i="9"/>
  <c r="D75" i="9" s="1"/>
  <c r="C70" i="9"/>
  <c r="C65" i="9"/>
  <c r="D65" i="9" s="1"/>
  <c r="C59" i="9"/>
  <c r="D59" i="9" s="1"/>
  <c r="C54" i="9"/>
  <c r="C49" i="9"/>
  <c r="D49" i="9" s="1"/>
  <c r="C43" i="9"/>
  <c r="D43" i="9" s="1"/>
  <c r="C38" i="9"/>
  <c r="C33" i="9"/>
  <c r="C27" i="9"/>
  <c r="D27" i="9" s="1"/>
  <c r="C847" i="9"/>
  <c r="C837" i="9"/>
  <c r="C826" i="9"/>
  <c r="C815" i="9"/>
  <c r="C805" i="9"/>
  <c r="C794" i="9"/>
  <c r="C783" i="9"/>
  <c r="C773" i="9"/>
  <c r="C762" i="9"/>
  <c r="C751" i="9"/>
  <c r="C741" i="9"/>
  <c r="C730" i="9"/>
  <c r="C719" i="9"/>
  <c r="C709" i="9"/>
  <c r="C698" i="9"/>
  <c r="C687" i="9"/>
  <c r="C677" i="9"/>
  <c r="C666" i="9"/>
  <c r="C655" i="9"/>
  <c r="C645" i="9"/>
  <c r="C634" i="9"/>
  <c r="C623" i="9"/>
  <c r="C613" i="9"/>
  <c r="C602" i="9"/>
  <c r="C591" i="9"/>
  <c r="C581" i="9"/>
  <c r="C570" i="9"/>
  <c r="C559" i="9"/>
  <c r="C549" i="9"/>
  <c r="C538" i="9"/>
  <c r="C527" i="9"/>
  <c r="C517" i="9"/>
  <c r="C506" i="9"/>
  <c r="C495" i="9"/>
  <c r="C485" i="9"/>
  <c r="C474" i="9"/>
  <c r="C463" i="9"/>
  <c r="C453" i="9"/>
  <c r="C442" i="9"/>
  <c r="C431" i="9"/>
  <c r="C421" i="9"/>
  <c r="C410" i="9"/>
  <c r="C399" i="9"/>
  <c r="C389" i="9"/>
  <c r="C378" i="9"/>
  <c r="C367" i="9"/>
  <c r="C357" i="9"/>
  <c r="C346" i="9"/>
  <c r="C335" i="9"/>
  <c r="C325" i="9"/>
  <c r="C314" i="9"/>
  <c r="C303" i="9"/>
  <c r="C293" i="9"/>
  <c r="C282" i="9"/>
  <c r="C271" i="9"/>
  <c r="C261" i="9"/>
  <c r="C250" i="9"/>
  <c r="C239" i="9"/>
  <c r="C229" i="9"/>
  <c r="C218" i="9"/>
  <c r="C207" i="9"/>
  <c r="C197" i="9"/>
  <c r="C186" i="9"/>
  <c r="C175" i="9"/>
  <c r="C165" i="9"/>
  <c r="C154" i="9"/>
  <c r="C143" i="9"/>
  <c r="C133" i="9"/>
  <c r="C122" i="9"/>
  <c r="C111" i="9"/>
  <c r="C101" i="9"/>
  <c r="C90" i="9"/>
  <c r="C79" i="9"/>
  <c r="C69" i="9"/>
  <c r="C58" i="9"/>
  <c r="C47" i="9"/>
  <c r="D47" i="9" s="1"/>
  <c r="C37" i="9"/>
  <c r="D37" i="9" s="1"/>
  <c r="C26" i="9"/>
  <c r="C18" i="9"/>
  <c r="C11" i="9"/>
  <c r="D11" i="9" s="1"/>
  <c r="C5" i="9"/>
  <c r="D5" i="9" s="1"/>
  <c r="C13" i="9"/>
  <c r="D13" i="9" s="1"/>
  <c r="C22" i="9"/>
  <c r="C34" i="9"/>
  <c r="C50" i="9"/>
  <c r="C63" i="9"/>
  <c r="D63" i="9" s="1"/>
  <c r="C77" i="9"/>
  <c r="C93" i="9"/>
  <c r="C106" i="9"/>
  <c r="C119" i="9"/>
  <c r="D119" i="9" s="1"/>
  <c r="C135" i="9"/>
  <c r="D135" i="9" s="1"/>
  <c r="C149" i="9"/>
  <c r="C162" i="9"/>
  <c r="C178" i="9"/>
  <c r="C191" i="9"/>
  <c r="C205" i="9"/>
  <c r="C221" i="9"/>
  <c r="C234" i="9"/>
  <c r="C247" i="9"/>
  <c r="C263" i="9"/>
  <c r="C277" i="9"/>
  <c r="C290" i="9"/>
  <c r="C306" i="9"/>
  <c r="C319" i="9"/>
  <c r="C333" i="9"/>
  <c r="C349" i="9"/>
  <c r="C362" i="9"/>
  <c r="C375" i="9"/>
  <c r="C391" i="9"/>
  <c r="C405" i="9"/>
  <c r="C418" i="9"/>
  <c r="C434" i="9"/>
  <c r="C447" i="9"/>
  <c r="C461" i="9"/>
  <c r="C477" i="9"/>
  <c r="C490" i="9"/>
  <c r="C503" i="9"/>
  <c r="C519" i="9"/>
  <c r="C533" i="9"/>
  <c r="C546" i="9"/>
  <c r="C562" i="9"/>
  <c r="C575" i="9"/>
  <c r="C589" i="9"/>
  <c r="C605" i="9"/>
  <c r="C618" i="9"/>
  <c r="C631" i="9"/>
  <c r="C647" i="9"/>
  <c r="C661" i="9"/>
  <c r="C674" i="9"/>
  <c r="C690" i="9"/>
  <c r="C703" i="9"/>
  <c r="C717" i="9"/>
  <c r="C733" i="9"/>
  <c r="C746" i="9"/>
  <c r="C759" i="9"/>
  <c r="C775" i="9"/>
  <c r="C789" i="9"/>
  <c r="C802" i="9"/>
  <c r="C818" i="9"/>
  <c r="C831" i="9"/>
  <c r="C845" i="9"/>
  <c r="D2" i="9"/>
  <c r="D17" i="9"/>
  <c r="D21" i="9"/>
  <c r="D25" i="9"/>
  <c r="D29" i="9"/>
  <c r="D33" i="9"/>
  <c r="D41" i="9"/>
  <c r="D45" i="9"/>
  <c r="D53" i="9"/>
  <c r="D57" i="9"/>
  <c r="D61" i="9"/>
  <c r="D69" i="9"/>
  <c r="D78" i="9"/>
  <c r="D83" i="9"/>
  <c r="D88" i="9"/>
  <c r="D94" i="9"/>
  <c r="D99" i="9"/>
  <c r="D104" i="9"/>
  <c r="D110" i="9"/>
  <c r="D115" i="9"/>
  <c r="D120" i="9"/>
  <c r="D126" i="9"/>
  <c r="D131" i="9"/>
  <c r="D136" i="9"/>
  <c r="D142" i="9"/>
  <c r="D147" i="9"/>
  <c r="D152" i="9"/>
  <c r="D158" i="9"/>
  <c r="D166" i="9"/>
  <c r="D172" i="9"/>
  <c r="D179" i="9"/>
  <c r="D187" i="9"/>
  <c r="D194" i="9"/>
  <c r="D200" i="9"/>
  <c r="D208" i="9"/>
  <c r="D215" i="9"/>
  <c r="D222" i="9"/>
  <c r="D230" i="9"/>
  <c r="D236" i="9"/>
  <c r="D243" i="9"/>
  <c r="D251" i="9"/>
  <c r="D258" i="9"/>
  <c r="D264" i="9"/>
  <c r="D272" i="9"/>
  <c r="D279" i="9"/>
  <c r="D286" i="9"/>
  <c r="D294" i="9"/>
  <c r="D300" i="9"/>
  <c r="D307" i="9"/>
  <c r="D315" i="9"/>
  <c r="D322" i="9"/>
  <c r="D328" i="9"/>
  <c r="D336" i="9"/>
  <c r="D343" i="9"/>
  <c r="D350" i="9"/>
  <c r="D358" i="9"/>
  <c r="D364" i="9"/>
  <c r="D371" i="9"/>
  <c r="D379" i="9"/>
  <c r="D386" i="9"/>
  <c r="D392" i="9"/>
  <c r="D400" i="9"/>
  <c r="D407" i="9"/>
  <c r="D414" i="9"/>
  <c r="D423" i="9"/>
  <c r="D434" i="9"/>
  <c r="D444" i="9"/>
  <c r="D455" i="9"/>
  <c r="D466" i="9"/>
  <c r="D476" i="9"/>
  <c r="D487" i="9"/>
  <c r="D498" i="9"/>
  <c r="D508" i="9"/>
  <c r="D519" i="9"/>
  <c r="D530" i="9"/>
  <c r="D540" i="9"/>
  <c r="D551" i="9"/>
  <c r="D562" i="9"/>
  <c r="D572" i="9"/>
  <c r="D583" i="9"/>
  <c r="D594" i="9"/>
  <c r="D604" i="9"/>
  <c r="D615" i="9"/>
  <c r="D626" i="9"/>
  <c r="D636" i="9"/>
  <c r="D647" i="9"/>
  <c r="D658" i="9"/>
  <c r="D668" i="9"/>
  <c r="D679" i="9"/>
  <c r="D690" i="9"/>
  <c r="D700" i="9"/>
  <c r="D711" i="9"/>
  <c r="D722" i="9"/>
  <c r="D732" i="9"/>
  <c r="D743" i="9"/>
  <c r="D754" i="9"/>
  <c r="D764" i="9"/>
  <c r="D775" i="9"/>
  <c r="D786" i="9"/>
  <c r="D796" i="9"/>
  <c r="D807" i="9"/>
  <c r="D822" i="9"/>
  <c r="D835" i="9"/>
  <c r="D850" i="9"/>
  <c r="D864" i="9"/>
  <c r="D878" i="9"/>
  <c r="D892" i="9"/>
  <c r="D907" i="9"/>
  <c r="D920" i="9"/>
  <c r="D935" i="9"/>
  <c r="D950" i="9"/>
  <c r="D963" i="9"/>
  <c r="D978" i="9"/>
  <c r="D997" i="9"/>
  <c r="D993" i="9"/>
  <c r="D989" i="9"/>
  <c r="D985" i="9"/>
  <c r="D981" i="9"/>
  <c r="D977" i="9"/>
  <c r="D973" i="9"/>
  <c r="D969" i="9"/>
  <c r="D965" i="9"/>
  <c r="D961" i="9"/>
  <c r="D957" i="9"/>
  <c r="D953" i="9"/>
  <c r="D949" i="9"/>
  <c r="D945" i="9"/>
  <c r="D941" i="9"/>
  <c r="D937" i="9"/>
  <c r="D933" i="9"/>
  <c r="D929" i="9"/>
  <c r="D925" i="9"/>
  <c r="D921" i="9"/>
  <c r="D917" i="9"/>
  <c r="D913" i="9"/>
  <c r="D909" i="9"/>
  <c r="D905" i="9"/>
  <c r="D901" i="9"/>
  <c r="D897" i="9"/>
  <c r="D893" i="9"/>
  <c r="D889" i="9"/>
  <c r="D885" i="9"/>
  <c r="D881" i="9"/>
  <c r="D877" i="9"/>
  <c r="D873" i="9"/>
  <c r="D869" i="9"/>
  <c r="D865" i="9"/>
  <c r="D861" i="9"/>
  <c r="D857" i="9"/>
  <c r="D853" i="9"/>
  <c r="D849" i="9"/>
  <c r="D845" i="9"/>
  <c r="D841" i="9"/>
  <c r="D837" i="9"/>
  <c r="D833" i="9"/>
  <c r="D829" i="9"/>
  <c r="D825" i="9"/>
  <c r="D821" i="9"/>
  <c r="D817" i="9"/>
  <c r="D813" i="9"/>
  <c r="D809" i="9"/>
  <c r="D805" i="9"/>
  <c r="D801" i="9"/>
  <c r="D797" i="9"/>
  <c r="D793" i="9"/>
  <c r="D789" i="9"/>
  <c r="D785" i="9"/>
  <c r="D781" i="9"/>
  <c r="D777" i="9"/>
  <c r="D773" i="9"/>
  <c r="D769" i="9"/>
  <c r="D765" i="9"/>
  <c r="D761" i="9"/>
  <c r="D757" i="9"/>
  <c r="D753" i="9"/>
  <c r="D749" i="9"/>
  <c r="D745" i="9"/>
  <c r="D741" i="9"/>
  <c r="D737" i="9"/>
  <c r="D733" i="9"/>
  <c r="D729" i="9"/>
  <c r="D725" i="9"/>
  <c r="D721" i="9"/>
  <c r="D717" i="9"/>
  <c r="D713" i="9"/>
  <c r="D709" i="9"/>
  <c r="D705" i="9"/>
  <c r="D701" i="9"/>
  <c r="D697" i="9"/>
  <c r="D693" i="9"/>
  <c r="D689" i="9"/>
  <c r="D685" i="9"/>
  <c r="D681" i="9"/>
  <c r="D677" i="9"/>
  <c r="D673" i="9"/>
  <c r="D669" i="9"/>
  <c r="D665" i="9"/>
  <c r="D661" i="9"/>
  <c r="D657" i="9"/>
  <c r="D653" i="9"/>
  <c r="D649" i="9"/>
  <c r="D645" i="9"/>
  <c r="D641" i="9"/>
  <c r="D637" i="9"/>
  <c r="D633" i="9"/>
  <c r="D629" i="9"/>
  <c r="D625" i="9"/>
  <c r="D621" i="9"/>
  <c r="D617" i="9"/>
  <c r="D613" i="9"/>
  <c r="D609" i="9"/>
  <c r="D605" i="9"/>
  <c r="D601" i="9"/>
  <c r="D597" i="9"/>
  <c r="D593" i="9"/>
  <c r="D589" i="9"/>
  <c r="D585" i="9"/>
  <c r="D581" i="9"/>
  <c r="D577" i="9"/>
  <c r="D573" i="9"/>
  <c r="D569" i="9"/>
  <c r="D565" i="9"/>
  <c r="D561" i="9"/>
  <c r="D557" i="9"/>
  <c r="D553" i="9"/>
  <c r="D549" i="9"/>
  <c r="D545" i="9"/>
  <c r="D541" i="9"/>
  <c r="D537" i="9"/>
  <c r="D533" i="9"/>
  <c r="D529" i="9"/>
  <c r="D525" i="9"/>
  <c r="D521" i="9"/>
  <c r="D517" i="9"/>
  <c r="D513" i="9"/>
  <c r="D509" i="9"/>
  <c r="D505" i="9"/>
  <c r="D501" i="9"/>
  <c r="D497" i="9"/>
  <c r="D493" i="9"/>
  <c r="D489" i="9"/>
  <c r="D485" i="9"/>
  <c r="D481" i="9"/>
  <c r="D477" i="9"/>
  <c r="D473" i="9"/>
  <c r="D469" i="9"/>
  <c r="D465" i="9"/>
  <c r="D461" i="9"/>
  <c r="D457" i="9"/>
  <c r="D453" i="9"/>
  <c r="D449" i="9"/>
  <c r="D445" i="9"/>
  <c r="D441" i="9"/>
  <c r="D437" i="9"/>
  <c r="D433" i="9"/>
  <c r="D429" i="9"/>
  <c r="D425" i="9"/>
  <c r="D421" i="9"/>
  <c r="D417" i="9"/>
  <c r="D413" i="9"/>
  <c r="D409" i="9"/>
  <c r="D405" i="9"/>
  <c r="D401" i="9"/>
  <c r="D397" i="9"/>
  <c r="D393" i="9"/>
  <c r="D389" i="9"/>
  <c r="D385" i="9"/>
  <c r="D381" i="9"/>
  <c r="D377" i="9"/>
  <c r="D373" i="9"/>
  <c r="D369" i="9"/>
  <c r="D365" i="9"/>
  <c r="D361" i="9"/>
  <c r="D357" i="9"/>
  <c r="D353" i="9"/>
  <c r="D349" i="9"/>
  <c r="D345" i="9"/>
  <c r="D341" i="9"/>
  <c r="D337" i="9"/>
  <c r="D333" i="9"/>
  <c r="D329" i="9"/>
  <c r="D325" i="9"/>
  <c r="D321" i="9"/>
  <c r="D317" i="9"/>
  <c r="D313" i="9"/>
  <c r="D309" i="9"/>
  <c r="D305" i="9"/>
  <c r="D301" i="9"/>
  <c r="D297" i="9"/>
  <c r="D293" i="9"/>
  <c r="D289" i="9"/>
  <c r="D285" i="9"/>
  <c r="D281" i="9"/>
  <c r="D277" i="9"/>
  <c r="D273" i="9"/>
  <c r="D269" i="9"/>
  <c r="D265" i="9"/>
  <c r="D261" i="9"/>
  <c r="D257" i="9"/>
  <c r="D253" i="9"/>
  <c r="D249" i="9"/>
  <c r="D245" i="9"/>
  <c r="D241" i="9"/>
  <c r="D237" i="9"/>
  <c r="D233" i="9"/>
  <c r="D229" i="9"/>
  <c r="D225" i="9"/>
  <c r="D221" i="9"/>
  <c r="D217" i="9"/>
  <c r="D213" i="9"/>
  <c r="D209" i="9"/>
  <c r="D205" i="9"/>
  <c r="D201" i="9"/>
  <c r="D197" i="9"/>
  <c r="D193" i="9"/>
  <c r="D189" i="9"/>
  <c r="D185" i="9"/>
  <c r="D181" i="9"/>
  <c r="D177" i="9"/>
  <c r="D173" i="9"/>
  <c r="D169" i="9"/>
  <c r="D165" i="9"/>
  <c r="D161" i="9"/>
  <c r="D157" i="9"/>
  <c r="D153" i="9"/>
  <c r="D149" i="9"/>
  <c r="D145" i="9"/>
  <c r="D141" i="9"/>
  <c r="D137" i="9"/>
  <c r="D133" i="9"/>
  <c r="D129" i="9"/>
  <c r="D125" i="9"/>
  <c r="D121" i="9"/>
  <c r="D117" i="9"/>
  <c r="D113" i="9"/>
  <c r="D109" i="9"/>
  <c r="D105" i="9"/>
  <c r="D101" i="9"/>
  <c r="D97" i="9"/>
  <c r="D93" i="9"/>
  <c r="D89" i="9"/>
  <c r="D85" i="9"/>
  <c r="D81" i="9"/>
  <c r="D77" i="9"/>
  <c r="D996" i="9"/>
  <c r="D991" i="9"/>
  <c r="D986" i="9"/>
  <c r="D980" i="9"/>
  <c r="D975" i="9"/>
  <c r="D970" i="9"/>
  <c r="D964" i="9"/>
  <c r="D959" i="9"/>
  <c r="D954" i="9"/>
  <c r="D948" i="9"/>
  <c r="D943" i="9"/>
  <c r="D938" i="9"/>
  <c r="D932" i="9"/>
  <c r="D927" i="9"/>
  <c r="D922" i="9"/>
  <c r="D916" i="9"/>
  <c r="D911" i="9"/>
  <c r="D906" i="9"/>
  <c r="D900" i="9"/>
  <c r="D895" i="9"/>
  <c r="D890" i="9"/>
  <c r="D884" i="9"/>
  <c r="D879" i="9"/>
  <c r="D874" i="9"/>
  <c r="D868" i="9"/>
  <c r="D863" i="9"/>
  <c r="D858" i="9"/>
  <c r="D852" i="9"/>
  <c r="D847" i="9"/>
  <c r="D842" i="9"/>
  <c r="D836" i="9"/>
  <c r="D831" i="9"/>
  <c r="D826" i="9"/>
  <c r="D820" i="9"/>
  <c r="D815" i="9"/>
  <c r="D810" i="9"/>
  <c r="D998" i="9"/>
  <c r="D990" i="9"/>
  <c r="D983" i="9"/>
  <c r="D976" i="9"/>
  <c r="D968" i="9"/>
  <c r="D962" i="9"/>
  <c r="D955" i="9"/>
  <c r="D947" i="9"/>
  <c r="D940" i="9"/>
  <c r="D934" i="9"/>
  <c r="D926" i="9"/>
  <c r="D919" i="9"/>
  <c r="D912" i="9"/>
  <c r="D904" i="9"/>
  <c r="D898" i="9"/>
  <c r="D891" i="9"/>
  <c r="D883" i="9"/>
  <c r="D876" i="9"/>
  <c r="D870" i="9"/>
  <c r="D862" i="9"/>
  <c r="D855" i="9"/>
  <c r="D848" i="9"/>
  <c r="D840" i="9"/>
  <c r="D834" i="9"/>
  <c r="D827" i="9"/>
  <c r="D819" i="9"/>
  <c r="D812" i="9"/>
  <c r="D806" i="9"/>
  <c r="D800" i="9"/>
  <c r="D795" i="9"/>
  <c r="D790" i="9"/>
  <c r="D784" i="9"/>
  <c r="D779" i="9"/>
  <c r="D774" i="9"/>
  <c r="D768" i="9"/>
  <c r="D763" i="9"/>
  <c r="D758" i="9"/>
  <c r="D752" i="9"/>
  <c r="D747" i="9"/>
  <c r="D742" i="9"/>
  <c r="D736" i="9"/>
  <c r="D731" i="9"/>
  <c r="D726" i="9"/>
  <c r="D720" i="9"/>
  <c r="D715" i="9"/>
  <c r="D710" i="9"/>
  <c r="D704" i="9"/>
  <c r="D699" i="9"/>
  <c r="D694" i="9"/>
  <c r="D688" i="9"/>
  <c r="D683" i="9"/>
  <c r="D678" i="9"/>
  <c r="D672" i="9"/>
  <c r="D667" i="9"/>
  <c r="D662" i="9"/>
  <c r="D656" i="9"/>
  <c r="D651" i="9"/>
  <c r="D646" i="9"/>
  <c r="D640" i="9"/>
  <c r="D635" i="9"/>
  <c r="D630" i="9"/>
  <c r="D624" i="9"/>
  <c r="D619" i="9"/>
  <c r="D614" i="9"/>
  <c r="D608" i="9"/>
  <c r="D603" i="9"/>
  <c r="D598" i="9"/>
  <c r="D592" i="9"/>
  <c r="D587" i="9"/>
  <c r="D582" i="9"/>
  <c r="D576" i="9"/>
  <c r="D571" i="9"/>
  <c r="D566" i="9"/>
  <c r="D560" i="9"/>
  <c r="D555" i="9"/>
  <c r="D550" i="9"/>
  <c r="D544" i="9"/>
  <c r="D539" i="9"/>
  <c r="D534" i="9"/>
  <c r="D528" i="9"/>
  <c r="D523" i="9"/>
  <c r="D518" i="9"/>
  <c r="D512" i="9"/>
  <c r="D507" i="9"/>
  <c r="D502" i="9"/>
  <c r="D496" i="9"/>
  <c r="D491" i="9"/>
  <c r="D486" i="9"/>
  <c r="D480" i="9"/>
  <c r="D475" i="9"/>
  <c r="D470" i="9"/>
  <c r="D464" i="9"/>
  <c r="D459" i="9"/>
  <c r="D454" i="9"/>
  <c r="D448" i="9"/>
  <c r="D443" i="9"/>
  <c r="D438" i="9"/>
  <c r="D432" i="9"/>
  <c r="D427" i="9"/>
  <c r="D422" i="9"/>
  <c r="D995" i="9"/>
  <c r="D988" i="9"/>
  <c r="D982" i="9"/>
  <c r="D974" i="9"/>
  <c r="D967" i="9"/>
  <c r="D960" i="9"/>
  <c r="D952" i="9"/>
  <c r="D946" i="9"/>
  <c r="D939" i="9"/>
  <c r="D931" i="9"/>
  <c r="D924" i="9"/>
  <c r="D918" i="9"/>
  <c r="D910" i="9"/>
  <c r="D903" i="9"/>
  <c r="D896" i="9"/>
  <c r="D888" i="9"/>
  <c r="D882" i="9"/>
  <c r="D875" i="9"/>
  <c r="D867" i="9"/>
  <c r="D860" i="9"/>
  <c r="D854" i="9"/>
  <c r="D846" i="9"/>
  <c r="D839" i="9"/>
  <c r="D832" i="9"/>
  <c r="D824" i="9"/>
  <c r="D818" i="9"/>
  <c r="D811" i="9"/>
  <c r="D804" i="9"/>
  <c r="D799" i="9"/>
  <c r="D794" i="9"/>
  <c r="D788" i="9"/>
  <c r="D783" i="9"/>
  <c r="D778" i="9"/>
  <c r="D772" i="9"/>
  <c r="D767" i="9"/>
  <c r="D762" i="9"/>
  <c r="D756" i="9"/>
  <c r="D751" i="9"/>
  <c r="D746" i="9"/>
  <c r="D740" i="9"/>
  <c r="D735" i="9"/>
  <c r="D730" i="9"/>
  <c r="D724" i="9"/>
  <c r="D719" i="9"/>
  <c r="D714" i="9"/>
  <c r="D708" i="9"/>
  <c r="D703" i="9"/>
  <c r="D698" i="9"/>
  <c r="D692" i="9"/>
  <c r="D687" i="9"/>
  <c r="D682" i="9"/>
  <c r="D676" i="9"/>
  <c r="D671" i="9"/>
  <c r="D666" i="9"/>
  <c r="D660" i="9"/>
  <c r="D655" i="9"/>
  <c r="D650" i="9"/>
  <c r="D644" i="9"/>
  <c r="D639" i="9"/>
  <c r="D634" i="9"/>
  <c r="D628" i="9"/>
  <c r="D623" i="9"/>
  <c r="D618" i="9"/>
  <c r="D612" i="9"/>
  <c r="D607" i="9"/>
  <c r="D602" i="9"/>
  <c r="D596" i="9"/>
  <c r="D591" i="9"/>
  <c r="D586" i="9"/>
  <c r="D580" i="9"/>
  <c r="D575" i="9"/>
  <c r="D570" i="9"/>
  <c r="D564" i="9"/>
  <c r="D559" i="9"/>
  <c r="D554" i="9"/>
  <c r="D548" i="9"/>
  <c r="D543" i="9"/>
  <c r="D538" i="9"/>
  <c r="D532" i="9"/>
  <c r="D527" i="9"/>
  <c r="D522" i="9"/>
  <c r="D516" i="9"/>
  <c r="D511" i="9"/>
  <c r="D506" i="9"/>
  <c r="D500" i="9"/>
  <c r="D495" i="9"/>
  <c r="D490" i="9"/>
  <c r="D484" i="9"/>
  <c r="D479" i="9"/>
  <c r="D474" i="9"/>
  <c r="D468" i="9"/>
  <c r="D463" i="9"/>
  <c r="D458" i="9"/>
  <c r="D452" i="9"/>
  <c r="D447" i="9"/>
  <c r="D442" i="9"/>
  <c r="D436" i="9"/>
  <c r="D431" i="9"/>
  <c r="D426" i="9"/>
  <c r="D420" i="9"/>
  <c r="D415" i="9"/>
  <c r="D410" i="9"/>
  <c r="D404" i="9"/>
  <c r="D399" i="9"/>
  <c r="D394" i="9"/>
  <c r="D388" i="9"/>
  <c r="D383" i="9"/>
  <c r="D378" i="9"/>
  <c r="D372" i="9"/>
  <c r="D367" i="9"/>
  <c r="D362" i="9"/>
  <c r="D356" i="9"/>
  <c r="D351" i="9"/>
  <c r="D346" i="9"/>
  <c r="D340" i="9"/>
  <c r="D335" i="9"/>
  <c r="D330" i="9"/>
  <c r="D324" i="9"/>
  <c r="D319" i="9"/>
  <c r="D314" i="9"/>
  <c r="D308" i="9"/>
  <c r="D303" i="9"/>
  <c r="D298" i="9"/>
  <c r="D292" i="9"/>
  <c r="D287" i="9"/>
  <c r="D282" i="9"/>
  <c r="D276" i="9"/>
  <c r="D271" i="9"/>
  <c r="D266" i="9"/>
  <c r="D260" i="9"/>
  <c r="D255" i="9"/>
  <c r="D250" i="9"/>
  <c r="D244" i="9"/>
  <c r="D239" i="9"/>
  <c r="D234" i="9"/>
  <c r="D228" i="9"/>
  <c r="D223" i="9"/>
  <c r="D218" i="9"/>
  <c r="D212" i="9"/>
  <c r="D207" i="9"/>
  <c r="D202" i="9"/>
  <c r="D196" i="9"/>
  <c r="D191" i="9"/>
  <c r="D186" i="9"/>
  <c r="D180" i="9"/>
  <c r="D175" i="9"/>
  <c r="D170" i="9"/>
  <c r="D164" i="9"/>
  <c r="D159" i="9"/>
  <c r="D6" i="9"/>
  <c r="D10" i="9"/>
  <c r="D14" i="9"/>
  <c r="D18" i="9"/>
  <c r="D22" i="9"/>
  <c r="D26" i="9"/>
  <c r="D30" i="9"/>
  <c r="D34" i="9"/>
  <c r="D38" i="9"/>
  <c r="D42" i="9"/>
  <c r="D46" i="9"/>
  <c r="D50" i="9"/>
  <c r="D54" i="9"/>
  <c r="D58" i="9"/>
  <c r="D62" i="9"/>
  <c r="D66" i="9"/>
  <c r="D70" i="9"/>
  <c r="D74" i="9"/>
  <c r="D79" i="9"/>
  <c r="D84" i="9"/>
  <c r="D90" i="9"/>
  <c r="D95" i="9"/>
  <c r="D100" i="9"/>
  <c r="D106" i="9"/>
  <c r="D111" i="9"/>
  <c r="D116" i="9"/>
  <c r="D122" i="9"/>
  <c r="D127" i="9"/>
  <c r="D132" i="9"/>
  <c r="D138" i="9"/>
  <c r="D143" i="9"/>
  <c r="D148" i="9"/>
  <c r="D154" i="9"/>
  <c r="D160" i="9"/>
  <c r="D167" i="9"/>
  <c r="D174" i="9"/>
  <c r="D182" i="9"/>
  <c r="D188" i="9"/>
  <c r="D195" i="9"/>
  <c r="D203" i="9"/>
  <c r="D210" i="9"/>
  <c r="D216" i="9"/>
  <c r="D224" i="9"/>
  <c r="D231" i="9"/>
  <c r="D238" i="9"/>
  <c r="D246" i="9"/>
  <c r="D252" i="9"/>
  <c r="D259" i="9"/>
  <c r="D267" i="9"/>
  <c r="D274" i="9"/>
  <c r="D280" i="9"/>
  <c r="D288" i="9"/>
  <c r="D295" i="9"/>
  <c r="D302" i="9"/>
  <c r="D310" i="9"/>
  <c r="D316" i="9"/>
  <c r="D323" i="9"/>
  <c r="D331" i="9"/>
  <c r="D338" i="9"/>
  <c r="D344" i="9"/>
  <c r="D352" i="9"/>
  <c r="D359" i="9"/>
  <c r="D366" i="9"/>
  <c r="D374" i="9"/>
  <c r="D380" i="9"/>
  <c r="D387" i="9"/>
  <c r="D395" i="9"/>
  <c r="D402" i="9"/>
  <c r="D408" i="9"/>
  <c r="D416" i="9"/>
  <c r="D424" i="9"/>
  <c r="D435" i="9"/>
  <c r="D446" i="9"/>
  <c r="D456" i="9"/>
  <c r="D467" i="9"/>
  <c r="D478" i="9"/>
  <c r="D488" i="9"/>
  <c r="D499" i="9"/>
  <c r="D510" i="9"/>
  <c r="D520" i="9"/>
  <c r="D531" i="9"/>
  <c r="D542" i="9"/>
  <c r="D552" i="9"/>
  <c r="D563" i="9"/>
  <c r="D574" i="9"/>
  <c r="D584" i="9"/>
  <c r="D595" i="9"/>
  <c r="D606" i="9"/>
  <c r="D616" i="9"/>
  <c r="D627" i="9"/>
  <c r="D638" i="9"/>
  <c r="D648" i="9"/>
  <c r="D659" i="9"/>
  <c r="D670" i="9"/>
  <c r="D680" i="9"/>
  <c r="D691" i="9"/>
  <c r="D702" i="9"/>
  <c r="D712" i="9"/>
  <c r="D723" i="9"/>
  <c r="D734" i="9"/>
  <c r="D744" i="9"/>
  <c r="D755" i="9"/>
  <c r="D766" i="9"/>
  <c r="D776" i="9"/>
  <c r="D787" i="9"/>
  <c r="D798" i="9"/>
  <c r="D808" i="9"/>
  <c r="D823" i="9"/>
  <c r="D838" i="9"/>
  <c r="D851" i="9"/>
  <c r="D866" i="9"/>
  <c r="D880" i="9"/>
  <c r="D894" i="9"/>
  <c r="D908" i="9"/>
  <c r="D923" i="9"/>
  <c r="D936" i="9"/>
  <c r="D951" i="9"/>
  <c r="D966" i="9"/>
  <c r="D979" i="9"/>
  <c r="D994" i="9"/>
  <c r="D56" i="9" l="1"/>
  <c r="D103" i="9"/>
  <c r="D140" i="9"/>
  <c r="D87" i="9"/>
  <c r="D31" i="9"/>
  <c r="D68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<sst xmlns="http://schemas.openxmlformats.org/spreadsheetml/2006/main" count="253" uniqueCount="65">
  <si>
    <t>Project Name</t>
  </si>
  <si>
    <t>Priority</t>
  </si>
  <si>
    <t>ETA</t>
  </si>
  <si>
    <t>Helper Value</t>
  </si>
  <si>
    <t>Helper Value D</t>
  </si>
  <si>
    <t>Helper Value P</t>
  </si>
  <si>
    <t>High</t>
  </si>
  <si>
    <t>low can be streched to 7 days</t>
  </si>
  <si>
    <t>low is x</t>
  </si>
  <si>
    <t>7x=4y=z</t>
  </si>
  <si>
    <t>x=4</t>
  </si>
  <si>
    <t>medium can be streched to 4 days</t>
  </si>
  <si>
    <t>medium is y</t>
  </si>
  <si>
    <t>y=7</t>
  </si>
  <si>
    <t>high cannot be strected</t>
  </si>
  <si>
    <t>high is z</t>
  </si>
  <si>
    <t>z=28</t>
  </si>
  <si>
    <t>Medium</t>
  </si>
  <si>
    <t>Low</t>
  </si>
  <si>
    <t>May Wk1</t>
  </si>
  <si>
    <t>May Wk2</t>
  </si>
  <si>
    <t>May Wk3</t>
  </si>
  <si>
    <t>May Wk4</t>
  </si>
  <si>
    <t>May Wk5</t>
  </si>
  <si>
    <t>Jun Wk1</t>
  </si>
  <si>
    <t>Jun Wk2</t>
  </si>
  <si>
    <t>Jun Wk3</t>
  </si>
  <si>
    <t>Jun Wk4</t>
  </si>
  <si>
    <t>Jun Wk5</t>
  </si>
  <si>
    <t>Jul Wk1</t>
  </si>
  <si>
    <t>Jul Wk2</t>
  </si>
  <si>
    <t>Jul Wk3</t>
  </si>
  <si>
    <t>Jul Wk4</t>
  </si>
  <si>
    <t>Jul Wk5</t>
  </si>
  <si>
    <t>Aug Wk1</t>
  </si>
  <si>
    <t>Aug Wk2</t>
  </si>
  <si>
    <t>Aug Wk3</t>
  </si>
  <si>
    <t>Aug Wk4</t>
  </si>
  <si>
    <t>Aug Wk5</t>
  </si>
  <si>
    <t>Sept Wk1</t>
  </si>
  <si>
    <t>Sept Wk2</t>
  </si>
  <si>
    <t>Sept Wk3</t>
  </si>
  <si>
    <t>Sept Wk4</t>
  </si>
  <si>
    <t>Oct Wk1</t>
  </si>
  <si>
    <t>Oct Wk2</t>
  </si>
  <si>
    <t>Oct Wk3</t>
  </si>
  <si>
    <t>Oct Wk4</t>
  </si>
  <si>
    <t>Oct Wk5</t>
  </si>
  <si>
    <t>Nov Wk1</t>
  </si>
  <si>
    <t>Nov Wk2</t>
  </si>
  <si>
    <t>Nov Wk3</t>
  </si>
  <si>
    <t>Nov Wk4</t>
  </si>
  <si>
    <t>Dec Wk1</t>
  </si>
  <si>
    <t>Dec Wk2</t>
  </si>
  <si>
    <t>Dec Wk3</t>
  </si>
  <si>
    <t>Dec Wk4</t>
  </si>
  <si>
    <t>-</t>
  </si>
  <si>
    <t>Areeb</t>
  </si>
  <si>
    <t>zain.abideen</t>
  </si>
  <si>
    <t>m.sulaiman</t>
  </si>
  <si>
    <t>irsa.sarfaraz</t>
  </si>
  <si>
    <t>Wareesha Azwar</t>
  </si>
  <si>
    <t>mustafa.abdullah</t>
  </si>
  <si>
    <t>zahir.hussain</t>
  </si>
  <si>
    <t>nawab.naveed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</si>
</sst>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"/>
    <numFmt numFmtId="165" formatCode="m/d/yy"/>
    <numFmt numFmtId="166" formatCode="mmmm\ yyyy"/>
  </numFmts>
  <fonts count="5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name val="Calibri"/>
    </font>
    <font>
      <sz val="11"/>
      <color rgb="FF000000"/>
      <name val="&quot;Aptos Narrow&quot;"/>
    </font>
    <font>
      <b/>
      <sz val="10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B5E6A2"/>
        <bgColor rgb="FFB5E6A2"/>
      </patternFill>
    </fill>
    <fill>
      <patternFill patternType="solid">
        <fgColor rgb="FFADADAD"/>
        <bgColor rgb="FFADADAD"/>
      </patternFill>
    </fill>
    <fill>
      <patternFill patternType="solid">
        <fgColor rgb="FFE97132"/>
        <bgColor rgb="FFE97132"/>
      </patternFill>
    </fill>
    <fill>
      <patternFill patternType="solid">
        <fgColor rgb="FFF7C7AC"/>
        <bgColor rgb="FFF7C7AC"/>
      </patternFill>
    </fill>
    <fill>
      <patternFill patternType="solid">
        <fgColor rgb="FF61CBF3"/>
        <bgColor rgb="FF61CB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/>
    <xf numFmtId="164" fontId="1" fillId="0" borderId="0" xfId="0" applyNumberFormat="1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" fillId="0" borderId="2" xfId="0" applyFont="1" applyBorder="1"/>
    <xf numFmtId="14" fontId="3" fillId="4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5" borderId="2" xfId="0" applyNumberFormat="1" applyFont="1" applyFill="1" applyBorder="1" applyAlignment="1">
      <alignment horizontal="right"/>
    </xf>
    <xf numFmtId="165" fontId="3" fillId="6" borderId="2" xfId="0" applyNumberFormat="1" applyFont="1" applyFill="1" applyBorder="1" applyAlignment="1">
      <alignment horizontal="right"/>
    </xf>
    <xf numFmtId="165" fontId="3" fillId="7" borderId="2" xfId="0" applyNumberFormat="1" applyFont="1" applyFill="1" applyBorder="1" applyAlignment="1">
      <alignment horizontal="right"/>
    </xf>
    <xf numFmtId="165" fontId="3" fillId="8" borderId="2" xfId="0" applyNumberFormat="1" applyFont="1" applyFill="1" applyBorder="1" applyAlignment="1">
      <alignment horizontal="right"/>
    </xf>
    <xf numFmtId="165" fontId="3" fillId="9" borderId="2" xfId="0" applyNumberFormat="1" applyFont="1" applyFill="1" applyBorder="1" applyAlignment="1">
      <alignment horizontal="right"/>
    </xf>
    <xf numFmtId="165" fontId="3" fillId="10" borderId="2" xfId="0" applyNumberFormat="1" applyFont="1" applyFill="1" applyBorder="1" applyAlignment="1">
      <alignment horizontal="right"/>
    </xf>
    <xf numFmtId="165" fontId="3" fillId="11" borderId="2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1" fillId="3" borderId="2" xfId="0" applyFont="1" applyFill="1" applyBorder="1"/>
    <xf numFmtId="0" fontId="1" fillId="12" borderId="2" xfId="0" applyFont="1" applyFill="1" applyBorder="1"/>
    <xf numFmtId="0" fontId="1" fillId="13" borderId="2" xfId="0" applyFont="1" applyFill="1" applyBorder="1"/>
    <xf numFmtId="166" fontId="1" fillId="2" borderId="2" xfId="0" applyNumberFormat="1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166" fontId="1" fillId="12" borderId="2" xfId="0" applyNumberFormat="1" applyFont="1" applyFill="1" applyBorder="1" applyAlignment="1">
      <alignment horizontal="center"/>
    </xf>
    <xf numFmtId="166" fontId="1" fillId="13" borderId="2" xfId="0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1" fillId="2" borderId="0" xfId="0" applyFont="1" applyFill="1"/>
    <xf numFmtId="0" fontId="0" fillId="14" borderId="6" xfId="0" applyFill="1" applyBorder="1"/>
    <xf numFmtId="0" fontId="0" fillId="15" borderId="6" xfId="0" applyFill="1" applyBorder="1"/>
    <xf numFmtId="0" fontId="0" fillId="16" borderId="6" xfId="0" applyFill="1" applyBorder="1"/>
    <xf numFmtId="0" fontId="0" fillId="17" borderId="6" xfId="0" applyFill="1" applyBorder="1"/>
    <xf numFmtId="0" fontId="0" fillId="18" borderId="6" xfId="0" applyFill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166" fontId="4" fillId="0" borderId="0" xfId="0" applyNumberFormat="1" applyFont="1" applyAlignment="1">
      <alignment horizontal="center"/>
    </xf>
    <xf numFmtId="0" fontId="0" fillId="0" borderId="0" xfId="0"/>
    <xf numFmtId="166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lumiax.sharepoint.com/sites/accounting/Shared%20Documents/PROJEC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1000"/>
  <sheetViews>
    <sheetView workbookViewId="0"/>
  </sheetViews>
  <sheetFormatPr defaultColWidth="14.42578125" defaultRowHeight="15.75" customHeight="1"/>
  <cols>
    <col min="1" max="1" width="67.7109375" customWidth="1"/>
    <col min="8" max="8" width="14.42578125" style="3"/>
    <col min="13" max="13" width="21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1</v>
      </c>
      <c r="H1" s="1" t="s">
        <v>2</v>
      </c>
      <c r="I1" s="1" t="s">
        <v>4</v>
      </c>
      <c r="J1" s="1" t="s">
        <v>5</v>
      </c>
    </row>
    <row r="2" spans="1:16" ht="15.75" customHeight="1">
      <c r="A2" s="1" t="e" cm="1" vm="1">
        <f t="array" ref="A2">_xlfn._xlws.FILTER([1]PROJECTS!C2:C890, [1]PROJECTS!C2:C890 &lt;&gt; "")</f>
        <v>#VALUE!</v>
      </c>
      <c r="B2" s="1" t="e">
        <f t="array" ref="B2:B847">#REF!</f>
        <v>#REF!</v>
      </c>
      <c r="C2" s="3" t="e">
        <f t="array" ref="C2:C847">#REF!</f>
        <v>#REF!</v>
      </c>
      <c r="D2" s="1" t="e">
        <f t="array" ref="D2:D1000" ca="1">IF(A2:A1000 = "", "",
    IF(
      ISBLANK(C2:C1000),
      IF(B2:B1000 = "High", 1, IF(B2:B1000 = "Medium", 2, IF(B2:B1000 = "Low", 3, 4))),
      IF(
        C2:C1000 &gt;= TODAY(),
        IF(B2:B1000 = "High", 1, IF(B2:B1000 = "Medium", 2, IF(B2:B1000 = "Low", 3, 4))) + (C2:C1000 - TODAY()),
        IF(B2:B1000 = "High", 1, IF(B2:B1000 = "Medium", 2, IF(B2:B1000 = "Low", 3, 4))) + (C2:C1000 - TODAY()) + 100000
      )
    )
  )</f>
        <v>#VALUE!</v>
      </c>
      <c r="G2" s="1" t="s">
        <v>6</v>
      </c>
      <c r="H2" s="3">
        <v>45499</v>
      </c>
      <c r="I2" s="1">
        <f t="shared" ref="I2:I10" ca="1" si="0">IF(H2-TODAY()=0,1,H2-TODAY())</f>
        <v>-740</v>
      </c>
      <c r="J2" s="1">
        <f t="shared" ref="J2:J10" si="1">IF(G2="HIGH",28,IF(G2="Medium",7,IF(G2="Low",4,0)))</f>
        <v>28</v>
      </c>
      <c r="K2" s="1">
        <f t="shared" ref="K2:K10" ca="1" si="2">J2/I2</f>
        <v>-3.783783783783784E-2</v>
      </c>
      <c r="M2" s="1" t="s">
        <v>7</v>
      </c>
      <c r="N2" s="1" t="s">
        <v>8</v>
      </c>
      <c r="O2" s="1" t="s">
        <v>9</v>
      </c>
      <c r="P2" s="1" t="s">
        <v>10</v>
      </c>
    </row>
    <row r="3" spans="1:16" ht="15.75" customHeight="1">
      <c r="A3" s="1" t="str">
        <f ca="1">IFERROR(__xludf.UNSUPPORTED("""COMPUTED_VALUE"""),"PSS Longview ISD Multi Purpose Facility")</f>
        <v>PSS Longview ISD Multi Purpose Facility</v>
      </c>
      <c r="B3" s="1" t="e">
        <v>#REF!</v>
      </c>
      <c r="C3" s="3" t="e">
        <v>#REF!</v>
      </c>
      <c r="D3" s="1" t="e">
        <f ca="1"/>
        <v>#REF!</v>
      </c>
      <c r="G3" s="1" t="s">
        <v>6</v>
      </c>
      <c r="H3" s="4">
        <v>45498</v>
      </c>
      <c r="I3" s="1">
        <f t="shared" ca="1" si="0"/>
        <v>-741</v>
      </c>
      <c r="J3" s="1">
        <f t="shared" si="1"/>
        <v>28</v>
      </c>
      <c r="K3" s="1">
        <f t="shared" ca="1" si="2"/>
        <v>-3.7786774628879895E-2</v>
      </c>
      <c r="M3" s="1" t="s">
        <v>11</v>
      </c>
      <c r="N3" s="1" t="s">
        <v>12</v>
      </c>
      <c r="P3" s="1" t="s">
        <v>13</v>
      </c>
    </row>
    <row r="4" spans="1:16" ht="15.75" customHeight="1">
      <c r="A4" s="1" t="str">
        <f ca="1">IFERROR(__xludf.UNSUPPORTED("""COMPUTED_VALUE"""),"Al Tahoe/Bayview Well Rehab &amp; Emergency Power")</f>
        <v>Al Tahoe/Bayview Well Rehab &amp; Emergency Power</v>
      </c>
      <c r="B4" s="1" t="e">
        <v>#REF!</v>
      </c>
      <c r="C4" s="3" t="e">
        <v>#REF!</v>
      </c>
      <c r="D4" s="1" t="e">
        <f ca="1"/>
        <v>#REF!</v>
      </c>
      <c r="G4" s="1" t="s">
        <v>6</v>
      </c>
      <c r="H4" s="4">
        <v>45503</v>
      </c>
      <c r="I4" s="1">
        <f t="shared" ca="1" si="0"/>
        <v>-736</v>
      </c>
      <c r="J4" s="1">
        <f t="shared" si="1"/>
        <v>28</v>
      </c>
      <c r="K4" s="1">
        <f t="shared" ca="1" si="2"/>
        <v>-3.8043478260869568E-2</v>
      </c>
      <c r="M4" s="1" t="s">
        <v>14</v>
      </c>
      <c r="N4" s="1" t="s">
        <v>15</v>
      </c>
      <c r="P4" s="1" t="s">
        <v>16</v>
      </c>
    </row>
    <row r="5" spans="1:16" ht="15.75" customHeight="1">
      <c r="A5" s="1" t="str">
        <f ca="1">IFERROR(__xludf.UNSUPPORTED("""COMPUTED_VALUE"""),"Folsom Heights Development Water Booster Pump Station")</f>
        <v>Folsom Heights Development Water Booster Pump Station</v>
      </c>
      <c r="B5" s="1" t="e">
        <v>#REF!</v>
      </c>
      <c r="C5" s="3" t="e">
        <v>#REF!</v>
      </c>
      <c r="D5" s="1" t="e">
        <f ca="1"/>
        <v>#REF!</v>
      </c>
      <c r="G5" s="1" t="s">
        <v>17</v>
      </c>
      <c r="H5" s="3">
        <v>45495</v>
      </c>
      <c r="I5" s="1">
        <f t="shared" ca="1" si="0"/>
        <v>-744</v>
      </c>
      <c r="J5" s="1">
        <f t="shared" si="1"/>
        <v>7</v>
      </c>
      <c r="K5" s="1">
        <f t="shared" ca="1" si="2"/>
        <v>-9.4086021505376347E-3</v>
      </c>
    </row>
    <row r="6" spans="1:16" ht="15.75" customHeight="1">
      <c r="A6" s="1" t="str">
        <f ca="1">IFERROR(__xludf.UNSUPPORTED("""COMPUTED_VALUE"""),"Combined Sewer Overflow PS - City of Anacortes")</f>
        <v>Combined Sewer Overflow PS - City of Anacortes</v>
      </c>
      <c r="B6" s="1" t="e">
        <v>#REF!</v>
      </c>
      <c r="C6" s="3" t="e">
        <v>#REF!</v>
      </c>
      <c r="D6" s="1" t="e">
        <f ca="1"/>
        <v>#REF!</v>
      </c>
      <c r="G6" s="1" t="s">
        <v>17</v>
      </c>
      <c r="H6" s="4">
        <v>45498</v>
      </c>
      <c r="I6" s="1">
        <f t="shared" ca="1" si="0"/>
        <v>-741</v>
      </c>
      <c r="J6" s="1">
        <f t="shared" si="1"/>
        <v>7</v>
      </c>
      <c r="K6" s="1">
        <f t="shared" ca="1" si="2"/>
        <v>-9.4466936572199737E-3</v>
      </c>
    </row>
    <row r="7" spans="1:16" ht="15.75" customHeight="1">
      <c r="A7" s="1" t="str">
        <f ca="1">IFERROR(__xludf.UNSUPPORTED("""COMPUTED_VALUE"""),"Umatila Police Station")</f>
        <v>Umatila Police Station</v>
      </c>
      <c r="B7" s="1" t="e">
        <v>#REF!</v>
      </c>
      <c r="C7" s="3" t="e">
        <v>#REF!</v>
      </c>
      <c r="D7" s="1" t="e">
        <f ca="1"/>
        <v>#REF!</v>
      </c>
      <c r="G7" s="1" t="s">
        <v>17</v>
      </c>
      <c r="H7" s="4">
        <v>45503</v>
      </c>
      <c r="I7" s="1">
        <f t="shared" ca="1" si="0"/>
        <v>-736</v>
      </c>
      <c r="J7" s="1">
        <f t="shared" si="1"/>
        <v>7</v>
      </c>
      <c r="K7" s="1">
        <f t="shared" ca="1" si="2"/>
        <v>-9.5108695652173919E-3</v>
      </c>
    </row>
    <row r="8" spans="1:16" ht="15.75" customHeight="1">
      <c r="A8" s="1" t="str">
        <f ca="1">IFERROR(__xludf.UNSUPPORTED("""COMPUTED_VALUE"""),"West LA-VA Medical Center - New Boiler Plant (Relay Config)")</f>
        <v>West LA-VA Medical Center - New Boiler Plant (Relay Config)</v>
      </c>
      <c r="B8" s="1" t="e">
        <v>#REF!</v>
      </c>
      <c r="C8" s="3" t="e">
        <v>#REF!</v>
      </c>
      <c r="D8" s="1" t="e">
        <f ca="1"/>
        <v>#REF!</v>
      </c>
      <c r="G8" s="1" t="s">
        <v>18</v>
      </c>
      <c r="H8" s="3">
        <v>45491</v>
      </c>
      <c r="I8" s="1">
        <f t="shared" ca="1" si="0"/>
        <v>-748</v>
      </c>
      <c r="J8" s="1">
        <f t="shared" si="1"/>
        <v>4</v>
      </c>
      <c r="K8" s="1">
        <f t="shared" ca="1" si="2"/>
        <v>-5.3475935828877002E-3</v>
      </c>
    </row>
    <row r="9" spans="1:16" ht="15.75" customHeight="1">
      <c r="A9" s="1" t="str">
        <f ca="1">IFERROR(__xludf.UNSUPPORTED("""COMPUTED_VALUE"""),"UC Davis Electrical Panel Replacement ")</f>
        <v xml:space="preserve">UC Davis Electrical Panel Replacement </v>
      </c>
      <c r="B9" s="1" t="e">
        <v>#REF!</v>
      </c>
      <c r="C9" s="3" t="e">
        <v>#REF!</v>
      </c>
      <c r="D9" s="1" t="e">
        <f ca="1"/>
        <v>#REF!</v>
      </c>
      <c r="G9" s="1" t="s">
        <v>18</v>
      </c>
      <c r="H9" s="4">
        <v>45498</v>
      </c>
      <c r="I9" s="1">
        <f t="shared" ca="1" si="0"/>
        <v>-741</v>
      </c>
      <c r="J9" s="1">
        <f t="shared" si="1"/>
        <v>4</v>
      </c>
      <c r="K9" s="1">
        <f t="shared" ca="1" si="2"/>
        <v>-5.3981106612685558E-3</v>
      </c>
    </row>
    <row r="10" spans="1:16" ht="15.75" customHeight="1">
      <c r="A10" s="1" t="str">
        <f ca="1">IFERROR(__xludf.UNSUPPORTED("""COMPUTED_VALUE"""),"City of Lacey - LS 3 Replacement")</f>
        <v>City of Lacey - LS 3 Replacement</v>
      </c>
      <c r="B10" s="1" t="e">
        <v>#REF!</v>
      </c>
      <c r="C10" s="3" t="e">
        <v>#REF!</v>
      </c>
      <c r="D10" s="1" t="e">
        <f ca="1"/>
        <v>#REF!</v>
      </c>
      <c r="G10" s="1" t="s">
        <v>18</v>
      </c>
      <c r="H10" s="4">
        <v>45503</v>
      </c>
      <c r="I10" s="1">
        <f t="shared" ca="1" si="0"/>
        <v>-736</v>
      </c>
      <c r="J10" s="1">
        <f t="shared" si="1"/>
        <v>4</v>
      </c>
      <c r="K10" s="1">
        <f t="shared" ca="1" si="2"/>
        <v>-5.434782608695652E-3</v>
      </c>
    </row>
    <row r="11" spans="1:16" ht="15.75" customHeight="1">
      <c r="A11" s="1" t="str">
        <f ca="1">IFERROR(__xludf.UNSUPPORTED("""COMPUTED_VALUE"""),"Island Transit Coupville Base")</f>
        <v>Island Transit Coupville Base</v>
      </c>
      <c r="B11" s="1" t="e">
        <v>#REF!</v>
      </c>
      <c r="C11" s="3" t="e">
        <v>#REF!</v>
      </c>
      <c r="D11" s="1" t="e">
        <f ca="1"/>
        <v>#REF!</v>
      </c>
    </row>
    <row r="12" spans="1:16" ht="15.75" customHeight="1">
      <c r="A12" s="1" t="str">
        <f ca="1">IFERROR(__xludf.UNSUPPORTED("""COMPUTED_VALUE"""),"OCH Catheterization Lab
")</f>
        <v xml:space="preserve">OCH Catheterization Lab
</v>
      </c>
      <c r="B12" s="1" t="e">
        <v>#REF!</v>
      </c>
      <c r="C12" s="3" t="e">
        <v>#REF!</v>
      </c>
      <c r="D12" s="1" t="e">
        <f ca="1"/>
        <v>#REF!</v>
      </c>
    </row>
    <row r="13" spans="1:16" ht="15.75" customHeight="1">
      <c r="A13" s="1" t="str">
        <f ca="1">IFERROR(__xludf.UNSUPPORTED("""COMPUTED_VALUE"""),"OCH Catheterization Lab 
CO#1")</f>
        <v>OCH Catheterization Lab 
CO#1</v>
      </c>
      <c r="B13" s="1" t="e">
        <v>#REF!</v>
      </c>
      <c r="C13" s="3" t="e">
        <v>#REF!</v>
      </c>
      <c r="D13" s="1" t="e">
        <f ca="1"/>
        <v>#REF!</v>
      </c>
    </row>
    <row r="14" spans="1:16" ht="15.75" customHeight="1">
      <c r="A14" s="1" t="str">
        <f ca="1">IFERROR(__xludf.UNSUPPORTED("""COMPUTED_VALUE"""),"Canadian Solar Dallas ")</f>
        <v xml:space="preserve">Canadian Solar Dallas </v>
      </c>
      <c r="B14" s="1" t="e">
        <v>#REF!</v>
      </c>
      <c r="C14" s="3" t="e">
        <v>#REF!</v>
      </c>
      <c r="D14" s="1" t="e">
        <f ca="1"/>
        <v>#REF!</v>
      </c>
    </row>
    <row r="15" spans="1:16" ht="15.75" customHeight="1">
      <c r="A15" s="1" t="str">
        <f ca="1">IFERROR(__xludf.UNSUPPORTED("""COMPUTED_VALUE""")," City of Clovis Pump Station E AF Study")</f>
        <v xml:space="preserve"> City of Clovis Pump Station E AF Study</v>
      </c>
      <c r="B15" s="1" t="e">
        <v>#REF!</v>
      </c>
      <c r="C15" s="3" t="e">
        <v>#REF!</v>
      </c>
      <c r="D15" s="1" t="e">
        <f ca="1"/>
        <v>#REF!</v>
      </c>
    </row>
    <row r="16" spans="1:16" ht="15.75" customHeight="1">
      <c r="A16" s="1" t="str">
        <f ca="1">IFERROR(__xludf.UNSUPPORTED("""COMPUTED_VALUE"""),"Murrieta Childrens Library Expansion Project")</f>
        <v>Murrieta Childrens Library Expansion Project</v>
      </c>
      <c r="B16" s="1" t="e">
        <v>#REF!</v>
      </c>
      <c r="C16" s="3" t="e">
        <v>#REF!</v>
      </c>
      <c r="D16" s="1" t="e">
        <f ca="1"/>
        <v>#REF!</v>
      </c>
    </row>
    <row r="17" spans="1:4" ht="15.75" customHeight="1">
      <c r="A17" s="1" t="str">
        <f ca="1">IFERROR(__xludf.UNSUPPORTED("""COMPUTED_VALUE"""),"Oak Harbor Fire Station # 82")</f>
        <v>Oak Harbor Fire Station # 82</v>
      </c>
      <c r="B17" s="1" t="e">
        <v>#REF!</v>
      </c>
      <c r="C17" s="3" t="e">
        <v>#REF!</v>
      </c>
      <c r="D17" s="1" t="e">
        <f ca="1"/>
        <v>#REF!</v>
      </c>
    </row>
    <row r="18" spans="1:4" ht="15.75" customHeight="1">
      <c r="A18" s="1" t="str">
        <f ca="1">IFERROR(__xludf.UNSUPPORTED("""COMPUTED_VALUE"""),"Brookside Mental Health Rehab Richmond")</f>
        <v>Brookside Mental Health Rehab Richmond</v>
      </c>
      <c r="B18" s="1" t="e">
        <v>#REF!</v>
      </c>
      <c r="C18" s="3" t="e">
        <v>#REF!</v>
      </c>
      <c r="D18" s="1" t="e">
        <f ca="1"/>
        <v>#REF!</v>
      </c>
    </row>
    <row r="19" spans="1:4" ht="15.75" customHeight="1">
      <c r="A19" s="1" t="str">
        <f ca="1">IFERROR(__xludf.UNSUPPORTED("""COMPUTED_VALUE"""),"Catlin Gabel School")</f>
        <v>Catlin Gabel School</v>
      </c>
      <c r="B19" s="1" t="e">
        <v>#REF!</v>
      </c>
      <c r="C19" s="3" t="e">
        <v>#REF!</v>
      </c>
      <c r="D19" s="1" t="e">
        <f ca="1"/>
        <v>#REF!</v>
      </c>
    </row>
    <row r="20" spans="1:4" ht="15.75" customHeight="1">
      <c r="A20" s="1" t="str">
        <f ca="1">IFERROR(__xludf.UNSUPPORTED("""COMPUTED_VALUE"""),"Catlin Gabel School CO#1")</f>
        <v>Catlin Gabel School CO#1</v>
      </c>
      <c r="B20" s="1" t="e">
        <v>#REF!</v>
      </c>
      <c r="C20" s="3" t="e">
        <v>#REF!</v>
      </c>
      <c r="D20" s="1" t="e">
        <f ca="1"/>
        <v>#REF!</v>
      </c>
    </row>
    <row r="21" spans="1:4" ht="15.75" customHeight="1">
      <c r="A21" s="1" t="str">
        <f ca="1">IFERROR(__xludf.UNSUPPORTED("""COMPUTED_VALUE"""),"Tierra Blanca WWTP")</f>
        <v>Tierra Blanca WWTP</v>
      </c>
      <c r="B21" s="1" t="e">
        <v>#REF!</v>
      </c>
      <c r="C21" s="3" t="e">
        <v>#REF!</v>
      </c>
      <c r="D21" s="1" t="e">
        <f ca="1"/>
        <v>#REF!</v>
      </c>
    </row>
    <row r="22" spans="1:4" ht="15.75" customHeight="1">
      <c r="A22" s="1" t="str">
        <f ca="1">IFERROR(__xludf.UNSUPPORTED("""COMPUTED_VALUE"""),"Sapporo Teriyaki")</f>
        <v>Sapporo Teriyaki</v>
      </c>
      <c r="B22" s="1" t="e">
        <v>#REF!</v>
      </c>
      <c r="C22" s="1" t="e">
        <v>#REF!</v>
      </c>
      <c r="D22" s="1" t="e">
        <f ca="1"/>
        <v>#REF!</v>
      </c>
    </row>
    <row r="23" spans="1:4" ht="15.75" customHeight="1">
      <c r="A23" s="1" t="str">
        <f ca="1">IFERROR(__xludf.UNSUPPORTED("""COMPUTED_VALUE"""),"DOW SCO")</f>
        <v>DOW SCO</v>
      </c>
      <c r="B23" s="1" t="e">
        <v>#REF!</v>
      </c>
      <c r="C23" s="3" t="e">
        <v>#REF!</v>
      </c>
      <c r="D23" s="1" t="e">
        <f ca="1"/>
        <v>#REF!</v>
      </c>
    </row>
    <row r="24" spans="1:4" ht="15.75" customHeight="1">
      <c r="A24" s="1" t="str">
        <f ca="1">IFERROR(__xludf.UNSUPPORTED("""COMPUTED_VALUE"""),"Canadian Solar Project")</f>
        <v>Canadian Solar Project</v>
      </c>
      <c r="B24" s="1" t="e">
        <v>#REF!</v>
      </c>
      <c r="C24" s="3" t="e">
        <v>#REF!</v>
      </c>
      <c r="D24" s="1" t="e">
        <f ca="1"/>
        <v>#REF!</v>
      </c>
    </row>
    <row r="25" spans="1:4" ht="15.75" customHeight="1">
      <c r="A25" s="1" t="str">
        <f ca="1">IFERROR(__xludf.UNSUPPORTED("""COMPUTED_VALUE"""),"Warm Springs Commissary
")</f>
        <v xml:space="preserve">Warm Springs Commissary
</v>
      </c>
      <c r="B25" s="1" t="e">
        <v>#REF!</v>
      </c>
      <c r="C25" s="3" t="e">
        <v>#REF!</v>
      </c>
      <c r="D25" s="1" t="e">
        <f ca="1"/>
        <v>#REF!</v>
      </c>
    </row>
    <row r="26" spans="1:4" ht="15.75" customHeight="1">
      <c r="A26" s="1" t="str">
        <f ca="1">IFERROR(__xludf.UNSUPPORTED("""COMPUTED_VALUE"""),"Steilacoom - Dock Lift Station and Parking Lot Improvement")</f>
        <v>Steilacoom - Dock Lift Station and Parking Lot Improvement</v>
      </c>
      <c r="B26" s="1" t="e">
        <v>#REF!</v>
      </c>
      <c r="C26" s="3" t="e">
        <v>#REF!</v>
      </c>
      <c r="D26" s="1" t="e">
        <f ca="1"/>
        <v>#REF!</v>
      </c>
    </row>
    <row r="27" spans="1:4" ht="15.75" customHeight="1">
      <c r="A27" s="1" t="str">
        <f ca="1">IFERROR(__xludf.UNSUPPORTED("""COMPUTED_VALUE"""),"Richard Bard Elementary School HVAC, Electrical &amp; Fire Alarm")</f>
        <v>Richard Bard Elementary School HVAC, Electrical &amp; Fire Alarm</v>
      </c>
      <c r="B27" s="1" t="e">
        <v>#REF!</v>
      </c>
      <c r="C27" s="3" t="e">
        <v>#REF!</v>
      </c>
      <c r="D27" s="1" t="e">
        <f ca="1"/>
        <v>#REF!</v>
      </c>
    </row>
    <row r="28" spans="1:4" ht="15.75" customHeight="1">
      <c r="A28" s="1" t="str">
        <f ca="1">IFERROR(__xludf.UNSUPPORTED("""COMPUTED_VALUE"""),"Modesto Library Tenant Improvements")</f>
        <v>Modesto Library Tenant Improvements</v>
      </c>
      <c r="B28" s="1" t="e">
        <v>#REF!</v>
      </c>
      <c r="C28" s="3" t="e">
        <v>#REF!</v>
      </c>
      <c r="D28" s="1" t="e">
        <f ca="1"/>
        <v>#REF!</v>
      </c>
    </row>
    <row r="29" spans="1:4" ht="15.75" customHeight="1">
      <c r="A29" s="1" t="str">
        <f ca="1">IFERROR(__xludf.UNSUPPORTED("""COMPUTED_VALUE"""),"Dom 4 Lift Station MCC and CP Replacement Project")</f>
        <v>Dom 4 Lift Station MCC and CP Replacement Project</v>
      </c>
      <c r="B29" s="1" t="e">
        <v>#REF!</v>
      </c>
      <c r="C29" s="3" t="e">
        <v>#REF!</v>
      </c>
      <c r="D29" s="1" t="e">
        <f ca="1"/>
        <v>#REF!</v>
      </c>
    </row>
    <row r="30" spans="1:4" ht="15.75" customHeight="1">
      <c r="A30" s="1" t="str">
        <f ca="1">IFERROR(__xludf.UNSUPPORTED("""COMPUTED_VALUE"""),"Well 4 Electrical Improvements - City of Auburn ")</f>
        <v xml:space="preserve">Well 4 Electrical Improvements - City of Auburn </v>
      </c>
      <c r="B30" s="1" t="e">
        <v>#REF!</v>
      </c>
      <c r="C30" s="3" t="e">
        <v>#REF!</v>
      </c>
      <c r="D30" s="1" t="e">
        <f ca="1"/>
        <v>#REF!</v>
      </c>
    </row>
    <row r="31" spans="1:4" ht="15.75" customHeight="1">
      <c r="A31" s="1" t="str">
        <f ca="1">IFERROR(__xludf.UNSUPPORTED("""COMPUTED_VALUE"""),"City of Burlingtom - WWTP Influent &amp; Effluent PS Upgrades")</f>
        <v>City of Burlingtom - WWTP Influent &amp; Effluent PS Upgrades</v>
      </c>
      <c r="B31" s="1" t="e">
        <v>#REF!</v>
      </c>
      <c r="C31" s="3" t="e">
        <v>#REF!</v>
      </c>
      <c r="D31" s="1" t="e">
        <f ca="1"/>
        <v>#REF!</v>
      </c>
    </row>
    <row r="32" spans="1:4" ht="15.75" customHeight="1">
      <c r="A32" s="1" t="str">
        <f ca="1">IFERROR(__xludf.UNSUPPORTED("""COMPUTED_VALUE"""),"Eddyville Fire Station Gear")</f>
        <v>Eddyville Fire Station Gear</v>
      </c>
      <c r="B32" s="1" t="e">
        <v>#REF!</v>
      </c>
      <c r="C32" s="3" t="e">
        <v>#REF!</v>
      </c>
      <c r="D32" s="1" t="e">
        <f ca="1"/>
        <v>#REF!</v>
      </c>
    </row>
    <row r="33" spans="1:4" ht="15.75" customHeight="1">
      <c r="A33" s="1" t="str">
        <f ca="1">IFERROR(__xludf.UNSUPPORTED("""COMPUTED_VALUE"""),"City of Anacortes - Pump Station 16")</f>
        <v>City of Anacortes - Pump Station 16</v>
      </c>
      <c r="B33" s="1" t="e">
        <v>#REF!</v>
      </c>
      <c r="C33" s="3" t="e">
        <v>#REF!</v>
      </c>
      <c r="D33" s="1" t="e">
        <f ca="1"/>
        <v>#REF!</v>
      </c>
    </row>
    <row r="34" spans="1:4" ht="15.75" customHeight="1">
      <c r="A34" s="1" t="str">
        <f ca="1">IFERROR(__xludf.UNSUPPORTED("""COMPUTED_VALUE"""),"City of Lacey - Lift Station 9 Improvements")</f>
        <v>City of Lacey - Lift Station 9 Improvements</v>
      </c>
      <c r="B34" s="1" t="e">
        <v>#REF!</v>
      </c>
      <c r="C34" s="3" t="e">
        <v>#REF!</v>
      </c>
      <c r="D34" s="1" t="e">
        <f ca="1"/>
        <v>#REF!</v>
      </c>
    </row>
    <row r="35" spans="1:4" ht="15.75" customHeight="1">
      <c r="A35" s="1" t="str">
        <f ca="1">IFERROR(__xludf.UNSUPPORTED("""COMPUTED_VALUE"""),"City of Lacey - Lift Station 23 Improvements")</f>
        <v>City of Lacey - Lift Station 23 Improvements</v>
      </c>
      <c r="B35" s="1" t="e">
        <v>#REF!</v>
      </c>
      <c r="C35" s="3" t="e">
        <v>#REF!</v>
      </c>
      <c r="D35" s="1" t="e">
        <f ca="1"/>
        <v>#REF!</v>
      </c>
    </row>
    <row r="36" spans="1:4" ht="15.75" customHeight="1">
      <c r="A36" s="1" t="str">
        <f ca="1">IFERROR(__xludf.UNSUPPORTED("""COMPUTED_VALUE"""),"SH 6 Pump Station Standby Generator")</f>
        <v>SH 6 Pump Station Standby Generator</v>
      </c>
      <c r="B36" s="1" t="e">
        <v>#REF!</v>
      </c>
      <c r="C36" s="3" t="e">
        <v>#REF!</v>
      </c>
      <c r="D36" s="1" t="e">
        <f ca="1"/>
        <v>#REF!</v>
      </c>
    </row>
    <row r="37" spans="1:4" ht="15.75" customHeight="1">
      <c r="A37" s="1" t="str">
        <f ca="1">IFERROR(__xludf.UNSUPPORTED("""COMPUTED_VALUE"""),"Industrial Wastewater Treatment Facility")</f>
        <v>Industrial Wastewater Treatment Facility</v>
      </c>
      <c r="B37" s="1" t="e">
        <v>#REF!</v>
      </c>
      <c r="C37" s="3" t="e">
        <v>#REF!</v>
      </c>
      <c r="D37" s="1" t="e">
        <f ca="1"/>
        <v>#REF!</v>
      </c>
    </row>
    <row r="38" spans="1:4" ht="15.75" customHeight="1">
      <c r="A38" s="1" t="str">
        <f ca="1">IFERROR(__xludf.UNSUPPORTED("""COMPUTED_VALUE"""),"Corporate Tenant Improvement - Phase 3")</f>
        <v>Corporate Tenant Improvement - Phase 3</v>
      </c>
      <c r="B38" s="1" t="e">
        <v>#REF!</v>
      </c>
      <c r="C38" s="3" t="e">
        <v>#REF!</v>
      </c>
      <c r="D38" s="1" t="e">
        <f ca="1"/>
        <v>#REF!</v>
      </c>
    </row>
    <row r="39" spans="1:4" ht="15.75" customHeight="1">
      <c r="A39" s="1" t="str">
        <f ca="1">IFERROR(__xludf.UNSUPPORTED("""COMPUTED_VALUE"""),"10MW ALBQ Data Center Neher McGrath Study")</f>
        <v>10MW ALBQ Data Center Neher McGrath Study</v>
      </c>
      <c r="B39" s="1" t="e">
        <v>#REF!</v>
      </c>
      <c r="C39" s="3" t="e">
        <v>#REF!</v>
      </c>
      <c r="D39" s="1" t="e">
        <f ca="1"/>
        <v>#REF!</v>
      </c>
    </row>
    <row r="40" spans="1:4" ht="15.75" customHeight="1">
      <c r="A40" s="1" t="str">
        <f ca="1">IFERROR(__xludf.UNSUPPORTED("""COMPUTED_VALUE"""),"Boiler Replacement at John.B Conally Middle School")</f>
        <v>Boiler Replacement at John.B Conally Middle School</v>
      </c>
      <c r="B40" s="1" t="e">
        <v>#REF!</v>
      </c>
      <c r="C40" s="3" t="e">
        <v>#REF!</v>
      </c>
      <c r="D40" s="1" t="e">
        <f ca="1"/>
        <v>#REF!</v>
      </c>
    </row>
    <row r="41" spans="1:4" ht="15.75" customHeight="1">
      <c r="A41" s="1" t="str">
        <f ca="1">IFERROR(__xludf.UNSUPPORTED("""COMPUTED_VALUE"""),"DELL-PC1 SCCAF Studies")</f>
        <v>DELL-PC1 SCCAF Studies</v>
      </c>
      <c r="B41" s="1" t="e">
        <v>#REF!</v>
      </c>
      <c r="C41" s="3" t="e">
        <v>#REF!</v>
      </c>
      <c r="D41" s="1" t="e">
        <f ca="1"/>
        <v>#REF!</v>
      </c>
    </row>
    <row r="42" spans="1:4" ht="15.75" customHeight="1">
      <c r="A42" s="1" t="str">
        <f ca="1">IFERROR(__xludf.UNSUPPORTED("""COMPUTED_VALUE"""),"Umatilla Oregon - Power City and Brownell Water &amp; Sewer")</f>
        <v>Umatilla Oregon - Power City and Brownell Water &amp; Sewer</v>
      </c>
      <c r="B42" s="1" t="e">
        <v>#REF!</v>
      </c>
      <c r="C42" s="3" t="e">
        <v>#REF!</v>
      </c>
      <c r="D42" s="1" t="e">
        <f ca="1"/>
        <v>#REF!</v>
      </c>
    </row>
    <row r="43" spans="1:4" ht="15.75" customHeight="1">
      <c r="A43" s="1" t="str">
        <f ca="1">IFERROR(__xludf.UNSUPPORTED("""COMPUTED_VALUE"""),"Haley Canopy ZEV Infrastructure Improvements Power system Studies")</f>
        <v>Haley Canopy ZEV Infrastructure Improvements Power system Studies</v>
      </c>
      <c r="B43" s="1" t="e">
        <v>#REF!</v>
      </c>
      <c r="C43" s="3" t="e">
        <v>#REF!</v>
      </c>
      <c r="D43" s="1" t="e">
        <f ca="1"/>
        <v>#REF!</v>
      </c>
    </row>
    <row r="44" spans="1:4" ht="15.75" customHeight="1">
      <c r="A44" s="1" t="str">
        <f ca="1">IFERROR(__xludf.UNSUPPORTED("""COMPUTED_VALUE"""),"Heatherwood &amp; Heather Gardens PS Rehabilitation")</f>
        <v>Heatherwood &amp; Heather Gardens PS Rehabilitation</v>
      </c>
      <c r="B44" s="1" t="e">
        <v>#REF!</v>
      </c>
      <c r="C44" s="3" t="e">
        <v>#REF!</v>
      </c>
      <c r="D44" s="1" t="e">
        <f ca="1"/>
        <v>#REF!</v>
      </c>
    </row>
    <row r="45" spans="1:4" ht="15.75" customHeight="1">
      <c r="A45" s="1" t="str">
        <f ca="1">IFERROR(__xludf.UNSUPPORTED("""COMPUTED_VALUE"""),"Supplemental Well No 3 Improvements - Watsonville")</f>
        <v>Supplemental Well No 3 Improvements - Watsonville</v>
      </c>
      <c r="B45" s="1" t="e">
        <v>#REF!</v>
      </c>
      <c r="C45" s="3" t="e">
        <v>#REF!</v>
      </c>
      <c r="D45" s="1" t="e">
        <f ca="1"/>
        <v>#REF!</v>
      </c>
    </row>
    <row r="46" spans="1:4" ht="15.75" customHeight="1">
      <c r="A46" s="1" t="str">
        <f ca="1">IFERROR(__xludf.UNSUPPORTED("""COMPUTED_VALUE"""),"Eagle and Magnolia Park Electrical Equipment Replacement")</f>
        <v>Eagle and Magnolia Park Electrical Equipment Replacement</v>
      </c>
      <c r="B46" s="1" t="e">
        <v>#REF!</v>
      </c>
      <c r="C46" s="3" t="e">
        <v>#REF!</v>
      </c>
      <c r="D46" s="1" t="e">
        <f ca="1"/>
        <v>#REF!</v>
      </c>
    </row>
    <row r="47" spans="1:4" ht="15.75" customHeight="1">
      <c r="A47" s="1" t="str">
        <f ca="1">IFERROR(__xludf.UNSUPPORTED("""COMPUTED_VALUE"""),"Telemark Recycled and Potable Water Booster Pump Station - SCVWA")</f>
        <v>Telemark Recycled and Potable Water Booster Pump Station - SCVWA</v>
      </c>
      <c r="B47" s="1" t="e">
        <v>#REF!</v>
      </c>
      <c r="C47" s="1" t="e">
        <v>#REF!</v>
      </c>
      <c r="D47" s="1" t="e">
        <f ca="1"/>
        <v>#REF!</v>
      </c>
    </row>
    <row r="48" spans="1:4" ht="15.75" customHeight="1">
      <c r="A48" s="1" t="str">
        <f ca="1">IFERROR(__xludf.UNSUPPORTED("""COMPUTED_VALUE"""),"Optum Madison Center Project")</f>
        <v>Optum Madison Center Project</v>
      </c>
      <c r="B48" s="1" t="e">
        <v>#REF!</v>
      </c>
      <c r="C48" s="3" t="e">
        <v>#REF!</v>
      </c>
      <c r="D48" s="1" t="e">
        <f ca="1"/>
        <v>#REF!</v>
      </c>
    </row>
    <row r="49" spans="1:4" ht="15.75" customHeight="1">
      <c r="A49" s="1" t="str">
        <f ca="1">IFERROR(__xludf.UNSUPPORTED("""COMPUTED_VALUE""")," 2025 Treatment Plant Improvement - NAPA Sanitation District")</f>
        <v xml:space="preserve"> 2025 Treatment Plant Improvement - NAPA Sanitation District</v>
      </c>
      <c r="B49" s="1" t="e">
        <v>#REF!</v>
      </c>
      <c r="C49" s="3" t="e">
        <v>#REF!</v>
      </c>
      <c r="D49" s="1" t="e">
        <f ca="1"/>
        <v>#REF!</v>
      </c>
    </row>
    <row r="50" spans="1:4" ht="15.75" customHeight="1">
      <c r="A50" s="1" t="str">
        <f ca="1">IFERROR(__xludf.UNSUPPORTED("""COMPUTED_VALUE"""),"SMUCLA MP200 Room B114-35 Nuclear Medicine PET")</f>
        <v>SMUCLA MP200 Room B114-35 Nuclear Medicine PET</v>
      </c>
      <c r="B50" s="1" t="e">
        <v>#REF!</v>
      </c>
      <c r="C50" s="3" t="e">
        <v>#REF!</v>
      </c>
      <c r="D50" s="1" t="e">
        <f ca="1"/>
        <v>#REF!</v>
      </c>
    </row>
    <row r="51" spans="1:4" ht="15.75" customHeight="1">
      <c r="A51" s="1" t="str">
        <f ca="1">IFERROR(__xludf.UNSUPPORTED("""COMPUTED_VALUE"""),"Oroville WWTP Upgrade")</f>
        <v>Oroville WWTP Upgrade</v>
      </c>
      <c r="B51" s="1" t="e">
        <v>#REF!</v>
      </c>
      <c r="C51" s="3" t="e">
        <v>#REF!</v>
      </c>
      <c r="D51" s="1" t="e">
        <f ca="1"/>
        <v>#REF!</v>
      </c>
    </row>
    <row r="52" spans="1:4" ht="15.75" customHeight="1">
      <c r="A52" s="1" t="str">
        <f ca="1">IFERROR(__xludf.UNSUPPORTED("""COMPUTED_VALUE"""),"PHX 72 Neher McGrath Study for MV Duct Banks + LV")</f>
        <v>PHX 72 Neher McGrath Study for MV Duct Banks + LV</v>
      </c>
      <c r="B52" s="1" t="e">
        <v>#REF!</v>
      </c>
      <c r="C52" s="1" t="e">
        <v>#REF!</v>
      </c>
      <c r="D52" s="1" t="e">
        <f ca="1"/>
        <v>#REF!</v>
      </c>
    </row>
    <row r="53" spans="1:4" ht="15.75" customHeight="1">
      <c r="A53" s="1" t="str">
        <f ca="1">IFERROR(__xludf.UNSUPPORTED("""COMPUTED_VALUE"""),"TxDPS Law Academy &amp; Training Facility Project")</f>
        <v>TxDPS Law Academy &amp; Training Facility Project</v>
      </c>
      <c r="B53" s="1" t="e">
        <v>#REF!</v>
      </c>
      <c r="C53" s="1" t="e">
        <v>#REF!</v>
      </c>
      <c r="D53" s="1" t="e">
        <f ca="1"/>
        <v>#REF!</v>
      </c>
    </row>
    <row r="54" spans="1:4" ht="15.75" customHeight="1">
      <c r="A54" s="1" t="str">
        <f ca="1">IFERROR(__xludf.UNSUPPORTED("""COMPUTED_VALUE"""),"Sumner Station")</f>
        <v>Sumner Station</v>
      </c>
      <c r="B54" s="1" t="e">
        <v>#REF!</v>
      </c>
      <c r="C54" s="1" t="e">
        <v>#REF!</v>
      </c>
      <c r="D54" s="1" t="e">
        <f ca="1"/>
        <v>#REF!</v>
      </c>
    </row>
    <row r="55" spans="1:4" ht="15.75" customHeight="1">
      <c r="A55" s="1" t="str">
        <f ca="1">IFERROR(__xludf.UNSUPPORTED("""COMPUTED_VALUE"""),"Sumner Station CO#2
")</f>
        <v xml:space="preserve">Sumner Station CO#2
</v>
      </c>
      <c r="B55" s="1" t="e">
        <v>#REF!</v>
      </c>
      <c r="C55" s="3" t="e">
        <v>#REF!</v>
      </c>
      <c r="D55" s="1" t="e">
        <f ca="1"/>
        <v>#REF!</v>
      </c>
    </row>
    <row r="56" spans="1:4" ht="15.75" customHeight="1">
      <c r="A56" s="1" t="str">
        <f ca="1">IFERROR(__xludf.UNSUPPORTED("""COMPUTED_VALUE"""),"WHARF 2 Generator Site Work-Concord")</f>
        <v>WHARF 2 Generator Site Work-Concord</v>
      </c>
      <c r="B56" s="1" t="e">
        <v>#REF!</v>
      </c>
      <c r="C56" s="1" t="e">
        <v>#REF!</v>
      </c>
      <c r="D56" s="1" t="e">
        <f ca="1"/>
        <v>#REF!</v>
      </c>
    </row>
    <row r="57" spans="1:4" ht="15.75" customHeight="1">
      <c r="A57" s="1" t="str">
        <f ca="1">IFERROR(__xludf.UNSUPPORTED("""COMPUTED_VALUE"""),"UCD Campus Outdoor Security")</f>
        <v>UCD Campus Outdoor Security</v>
      </c>
      <c r="B57" s="1" t="e">
        <v>#REF!</v>
      </c>
      <c r="C57" s="3" t="e">
        <v>#REF!</v>
      </c>
      <c r="D57" s="1" t="e">
        <f ca="1"/>
        <v>#REF!</v>
      </c>
    </row>
    <row r="58" spans="1:4" ht="15.75" customHeight="1">
      <c r="A58" s="1" t="str">
        <f ca="1">IFERROR(__xludf.UNSUPPORTED("""COMPUTED_VALUE"""),"COH - Helford Special Procedure Room")</f>
        <v>COH - Helford Special Procedure Room</v>
      </c>
      <c r="B58" s="1" t="e">
        <v>#REF!</v>
      </c>
      <c r="C58" s="3" t="e">
        <v>#REF!</v>
      </c>
      <c r="D58" s="1" t="e">
        <f ca="1"/>
        <v>#REF!</v>
      </c>
    </row>
    <row r="59" spans="1:4" ht="15.75" customHeight="1">
      <c r="A59" s="1" t="str">
        <f ca="1">IFERROR(__xludf.UNSUPPORTED("""COMPUTED_VALUE"""),"La Verna (Miguel Barroso)")</f>
        <v>La Verna (Miguel Barroso)</v>
      </c>
      <c r="B59" s="1" t="e">
        <v>#REF!</v>
      </c>
      <c r="C59" s="3" t="e">
        <v>#REF!</v>
      </c>
      <c r="D59" s="1" t="e">
        <f ca="1"/>
        <v>#REF!</v>
      </c>
    </row>
    <row r="60" spans="1:4" ht="15.75" customHeight="1">
      <c r="A60" s="1" t="str">
        <f ca="1">IFERROR(__xludf.UNSUPPORTED("""COMPUTED_VALUE"""),"Bayshore, Ravenwood MS, Roseville Galleria Bus Charging &amp; Los Robles")</f>
        <v>Bayshore, Ravenwood MS, Roseville Galleria Bus Charging &amp; Los Robles</v>
      </c>
      <c r="B60" s="1" t="e">
        <v>#REF!</v>
      </c>
      <c r="C60" s="3" t="e">
        <v>#REF!</v>
      </c>
      <c r="D60" s="1" t="e">
        <f ca="1"/>
        <v>#REF!</v>
      </c>
    </row>
    <row r="61" spans="1:4" ht="15.75" customHeight="1">
      <c r="A61" s="1" t="str">
        <f ca="1">IFERROR(__xludf.UNSUPPORTED("""COMPUTED_VALUE"""),"AMD Building D")</f>
        <v>AMD Building D</v>
      </c>
      <c r="B61" s="1" t="e">
        <v>#REF!</v>
      </c>
      <c r="C61" s="3" t="e">
        <v>#REF!</v>
      </c>
      <c r="D61" s="1" t="e">
        <f ca="1"/>
        <v>#REF!</v>
      </c>
    </row>
    <row r="62" spans="1:4" ht="12.75">
      <c r="A62" s="1" t="str">
        <f ca="1">IFERROR(__xludf.UNSUPPORTED("""COMPUTED_VALUE"""),"325 Eastlake")</f>
        <v>325 Eastlake</v>
      </c>
      <c r="B62" s="1" t="e">
        <v>#REF!</v>
      </c>
      <c r="C62" s="3" t="e">
        <v>#REF!</v>
      </c>
      <c r="D62" s="1" t="e">
        <f ca="1"/>
        <v>#REF!</v>
      </c>
    </row>
    <row r="63" spans="1:4" ht="12.75">
      <c r="A63" s="1" t="str">
        <f ca="1">IFERROR(__xludf.UNSUPPORTED("""COMPUTED_VALUE"""),"Hot Water Phase 2 - Greenhouses")</f>
        <v>Hot Water Phase 2 - Greenhouses</v>
      </c>
      <c r="B63" s="1" t="e">
        <v>#REF!</v>
      </c>
      <c r="C63" s="3" t="e">
        <v>#REF!</v>
      </c>
      <c r="D63" s="1" t="e">
        <f ca="1"/>
        <v>#REF!</v>
      </c>
    </row>
    <row r="64" spans="1:4" ht="12.75">
      <c r="A64" s="1" t="str">
        <f ca="1">IFERROR(__xludf.UNSUPPORTED("""COMPUTED_VALUE"""),"Old Settlers Park - 3 Sites")</f>
        <v>Old Settlers Park - 3 Sites</v>
      </c>
      <c r="B64" s="1" t="e">
        <v>#REF!</v>
      </c>
      <c r="C64" s="3" t="e">
        <v>#REF!</v>
      </c>
      <c r="D64" s="1" t="e">
        <f ca="1"/>
        <v>#REF!</v>
      </c>
    </row>
    <row r="65" spans="1:4" ht="12.75">
      <c r="A65" s="1" t="str">
        <f ca="1">IFERROR(__xludf.UNSUPPORTED("""COMPUTED_VALUE"""),"Woodbine Development Project")</f>
        <v>Woodbine Development Project</v>
      </c>
      <c r="B65" s="1" t="e">
        <v>#REF!</v>
      </c>
      <c r="C65" s="3" t="e">
        <v>#REF!</v>
      </c>
      <c r="D65" s="1" t="e">
        <f ca="1"/>
        <v>#REF!</v>
      </c>
    </row>
    <row r="66" spans="1:4" ht="12.75">
      <c r="A66" s="1" t="str">
        <f ca="1">IFERROR(__xludf.UNSUPPORTED("""COMPUTED_VALUE"""),"Texas Medical Center (TMC) Transit Center Opportunity
")</f>
        <v xml:space="preserve">Texas Medical Center (TMC) Transit Center Opportunity
</v>
      </c>
      <c r="B66" s="1" t="e">
        <v>#REF!</v>
      </c>
      <c r="C66" s="3" t="e">
        <v>#REF!</v>
      </c>
      <c r="D66" s="1" t="e">
        <f ca="1"/>
        <v>#REF!</v>
      </c>
    </row>
    <row r="67" spans="1:4" ht="12.75">
      <c r="A67" s="1" t="str">
        <f ca="1">IFERROR(__xludf.UNSUPPORTED("""COMPUTED_VALUE"""),"ECY - EV Infrastructure")</f>
        <v>ECY - EV Infrastructure</v>
      </c>
      <c r="B67" s="1" t="e">
        <v>#REF!</v>
      </c>
      <c r="C67" s="3" t="e">
        <v>#REF!</v>
      </c>
      <c r="D67" s="1" t="e">
        <f ca="1"/>
        <v>#REF!</v>
      </c>
    </row>
    <row r="68" spans="1:4" ht="12.75">
      <c r="A68" s="1" t="str">
        <f ca="1">IFERROR(__xludf.UNSUPPORTED("""COMPUTED_VALUE"""),"Arrowhead Regional Medical Center (ARMC) Medical Vacuum System Replacement")</f>
        <v>Arrowhead Regional Medical Center (ARMC) Medical Vacuum System Replacement</v>
      </c>
      <c r="B68" s="1" t="e">
        <v>#REF!</v>
      </c>
      <c r="C68" s="3" t="e">
        <v>#REF!</v>
      </c>
      <c r="D68" s="1" t="e">
        <f ca="1"/>
        <v>#REF!</v>
      </c>
    </row>
    <row r="69" spans="1:4" ht="12.75">
      <c r="A69" s="1" t="str">
        <f ca="1">IFERROR(__xludf.UNSUPPORTED("""COMPUTED_VALUE"""),"Seton Medical Center Austin Electrical Infrastructure CO#1
")</f>
        <v xml:space="preserve">Seton Medical Center Austin Electrical Infrastructure CO#1
</v>
      </c>
      <c r="B69" s="1" t="e">
        <v>#REF!</v>
      </c>
      <c r="C69" s="3" t="e">
        <v>#REF!</v>
      </c>
      <c r="D69" s="1" t="e">
        <f ca="1"/>
        <v>#REF!</v>
      </c>
    </row>
    <row r="70" spans="1:4" ht="12.75">
      <c r="A70" s="1" t="str">
        <f ca="1">IFERROR(__xludf.UNSUPPORTED("""COMPUTED_VALUE"""),"Crest Pump Station")</f>
        <v>Crest Pump Station</v>
      </c>
      <c r="B70" s="1" t="e">
        <v>#REF!</v>
      </c>
      <c r="C70" s="3" t="e">
        <v>#REF!</v>
      </c>
      <c r="D70" s="1" t="e">
        <f ca="1"/>
        <v>#REF!</v>
      </c>
    </row>
    <row r="71" spans="1:4" ht="12.75">
      <c r="A71" s="1" t="str">
        <f ca="1">IFERROR(__xludf.UNSUPPORTED("""COMPUTED_VALUE"""),"Sudden Valley Lift Station 22")</f>
        <v>Sudden Valley Lift Station 22</v>
      </c>
      <c r="B71" s="1" t="e">
        <v>#REF!</v>
      </c>
      <c r="C71" s="3" t="e">
        <v>#REF!</v>
      </c>
      <c r="D71" s="1" t="e">
        <f ca="1"/>
        <v>#REF!</v>
      </c>
    </row>
    <row r="72" spans="1:4" ht="12.75">
      <c r="A72" s="1" t="str">
        <f ca="1">IFERROR(__xludf.UNSUPPORTED("""COMPUTED_VALUE"""),"City of Hope - Helford Special Procedure Room CO#1")</f>
        <v>City of Hope - Helford Special Procedure Room CO#1</v>
      </c>
      <c r="B72" s="1" t="e">
        <v>#REF!</v>
      </c>
      <c r="C72" s="3" t="e">
        <v>#REF!</v>
      </c>
      <c r="D72" s="1" t="e">
        <f ca="1"/>
        <v>#REF!</v>
      </c>
    </row>
    <row r="73" spans="1:4" ht="12.75">
      <c r="A73" s="1" t="str">
        <f ca="1">IFERROR(__xludf.UNSUPPORTED("""COMPUTED_VALUE"""),"Hall of Records")</f>
        <v>Hall of Records</v>
      </c>
      <c r="B73" s="1" t="e">
        <v>#REF!</v>
      </c>
      <c r="C73" s="3" t="e">
        <v>#REF!</v>
      </c>
      <c r="D73" s="1" t="e">
        <f ca="1"/>
        <v>#REF!</v>
      </c>
    </row>
    <row r="74" spans="1:4" ht="12.75">
      <c r="A74" s="1" t="str">
        <f ca="1">IFERROR(__xludf.UNSUPPORTED("""COMPUTED_VALUE"""),"Fairlife Neher McGrath Study")</f>
        <v>Fairlife Neher McGrath Study</v>
      </c>
      <c r="B74" s="1" t="e">
        <v>#REF!</v>
      </c>
      <c r="C74" s="3" t="e">
        <v>#REF!</v>
      </c>
      <c r="D74" s="1" t="e">
        <f ca="1"/>
        <v>#REF!</v>
      </c>
    </row>
    <row r="75" spans="1:4" ht="12.75">
      <c r="A75" s="1" t="str">
        <f ca="1">IFERROR(__xludf.UNSUPPORTED("""COMPUTED_VALUE"""),"Richmond WWTP Sludge Thickner")</f>
        <v>Richmond WWTP Sludge Thickner</v>
      </c>
      <c r="B75" s="1" t="e">
        <v>#REF!</v>
      </c>
      <c r="C75" s="3" t="e">
        <v>#REF!</v>
      </c>
      <c r="D75" s="1" t="e">
        <f ca="1"/>
        <v>#REF!</v>
      </c>
    </row>
    <row r="76" spans="1:4" ht="12.75">
      <c r="A76" s="1" t="str">
        <f ca="1">IFERROR(__xludf.UNSUPPORTED("""COMPUTED_VALUE"""),"CTE Building Modernization - Umatilla")</f>
        <v>CTE Building Modernization - Umatilla</v>
      </c>
      <c r="B76" s="1" t="e">
        <v>#REF!</v>
      </c>
      <c r="C76" s="3" t="e">
        <v>#REF!</v>
      </c>
      <c r="D76" s="1" t="e">
        <f ca="1"/>
        <v>#REF!</v>
      </c>
    </row>
    <row r="77" spans="1:4" ht="12.75">
      <c r="A77" s="1" t="str">
        <f ca="1">IFERROR(__xludf.UNSUPPORTED("""COMPUTED_VALUE"""),"Grayson College - Residence Hall")</f>
        <v>Grayson College - Residence Hall</v>
      </c>
      <c r="B77" s="1" t="e">
        <v>#REF!</v>
      </c>
      <c r="C77" s="3" t="e">
        <v>#REF!</v>
      </c>
      <c r="D77" s="1" t="e">
        <f ca="1"/>
        <v>#REF!</v>
      </c>
    </row>
    <row r="78" spans="1:4" ht="12.75">
      <c r="A78" s="1" t="str">
        <f ca="1">IFERROR(__xludf.UNSUPPORTED("""COMPUTED_VALUE"""),"Country Place PFAS Treatment - lake Wood Water Disrtict")</f>
        <v>Country Place PFAS Treatment - lake Wood Water Disrtict</v>
      </c>
      <c r="B78" s="1" t="e">
        <v>#REF!</v>
      </c>
      <c r="C78" s="3" t="e">
        <v>#REF!</v>
      </c>
      <c r="D78" s="1" t="e">
        <f ca="1"/>
        <v>#REF!</v>
      </c>
    </row>
    <row r="79" spans="1:4" ht="12.75">
      <c r="A79" s="1" t="str">
        <f ca="1">IFERROR(__xludf.UNSUPPORTED("""COMPUTED_VALUE"""),"Vancouver Affordable Housing
")</f>
        <v xml:space="preserve">Vancouver Affordable Housing
</v>
      </c>
      <c r="B79" s="1" t="e">
        <v>#REF!</v>
      </c>
      <c r="C79" s="3" t="e">
        <v>#REF!</v>
      </c>
      <c r="D79" s="1" t="e">
        <f ca="1"/>
        <v>#REF!</v>
      </c>
    </row>
    <row r="80" spans="1:4" ht="12.75">
      <c r="A80" s="1" t="str">
        <f ca="1">IFERROR(__xludf.UNSUPPORTED("""COMPUTED_VALUE"""),"Seton Medical Center Austin Electrical Infrastructure
")</f>
        <v xml:space="preserve">Seton Medical Center Austin Electrical Infrastructure
</v>
      </c>
      <c r="B80" s="1" t="e">
        <v>#REF!</v>
      </c>
      <c r="C80" s="3" t="e">
        <v>#REF!</v>
      </c>
      <c r="D80" s="1" t="e">
        <f ca="1"/>
        <v>#REF!</v>
      </c>
    </row>
    <row r="81" spans="1:4" ht="12.75">
      <c r="A81" s="1" t="str">
        <f ca="1">IFERROR(__xludf.UNSUPPORTED("""COMPUTED_VALUE"""),"RHCA Headquarters Renovation")</f>
        <v>RHCA Headquarters Renovation</v>
      </c>
      <c r="B81" s="1" t="e">
        <v>#REF!</v>
      </c>
      <c r="C81" s="3" t="e">
        <v>#REF!</v>
      </c>
      <c r="D81" s="1" t="e">
        <f ca="1"/>
        <v>#REF!</v>
      </c>
    </row>
    <row r="82" spans="1:4" ht="12.75">
      <c r="A82" s="1" t="str">
        <f ca="1">IFERROR(__xludf.UNSUPPORTED("""COMPUTED_VALUE"""),"SMUCLA Phase 2")</f>
        <v>SMUCLA Phase 2</v>
      </c>
      <c r="B82" s="1" t="e">
        <v>#REF!</v>
      </c>
      <c r="C82" s="3" t="e">
        <v>#REF!</v>
      </c>
      <c r="D82" s="1" t="e">
        <f ca="1"/>
        <v>#REF!</v>
      </c>
    </row>
    <row r="83" spans="1:4" ht="12.75">
      <c r="A83" s="1" t="str">
        <f ca="1">IFERROR(__xludf.UNSUPPORTED("""COMPUTED_VALUE"""),"Issaquah Transportation Bus Charging
")</f>
        <v xml:space="preserve">Issaquah Transportation Bus Charging
</v>
      </c>
      <c r="B83" s="1" t="e">
        <v>#REF!</v>
      </c>
      <c r="C83" s="3" t="e">
        <v>#REF!</v>
      </c>
      <c r="D83" s="1" t="e">
        <f ca="1"/>
        <v>#REF!</v>
      </c>
    </row>
    <row r="84" spans="1:4" ht="12.75">
      <c r="A84" s="1" t="str">
        <f ca="1">IFERROR(__xludf.UNSUPPORTED("""COMPUTED_VALUE"""),"PR Distribution Project")</f>
        <v>PR Distribution Project</v>
      </c>
      <c r="B84" s="1" t="e">
        <v>#REF!</v>
      </c>
      <c r="C84" s="3" t="e">
        <v>#REF!</v>
      </c>
      <c r="D84" s="1" t="e">
        <f ca="1"/>
        <v>#REF!</v>
      </c>
    </row>
    <row r="85" spans="1:4" ht="12.75">
      <c r="A85" s="1" t="str">
        <f ca="1">IFERROR(__xludf.UNSUPPORTED("""COMPUTED_VALUE"""),"Yermo School's New Gym")</f>
        <v>Yermo School's New Gym</v>
      </c>
      <c r="B85" s="1" t="e">
        <v>#REF!</v>
      </c>
      <c r="C85" s="3" t="e">
        <v>#REF!</v>
      </c>
      <c r="D85" s="1" t="e">
        <f ca="1"/>
        <v>#REF!</v>
      </c>
    </row>
    <row r="86" spans="1:4" ht="12.75">
      <c r="A86" s="1" t="str">
        <f ca="1">IFERROR(__xludf.UNSUPPORTED("""COMPUTED_VALUE"""),"Judy Water Treatment Plant W1 pump station replacement")</f>
        <v>Judy Water Treatment Plant W1 pump station replacement</v>
      </c>
      <c r="B86" s="1" t="e">
        <v>#REF!</v>
      </c>
      <c r="C86" s="3" t="e">
        <v>#REF!</v>
      </c>
      <c r="D86" s="1" t="e">
        <f ca="1"/>
        <v>#REF!</v>
      </c>
    </row>
    <row r="87" spans="1:4" ht="12.75">
      <c r="A87" s="1" t="str">
        <f ca="1">IFERROR(__xludf.UNSUPPORTED("""COMPUTED_VALUE"""),"Zone 3 Booster Pump Improvements - City of Cle Elum")</f>
        <v>Zone 3 Booster Pump Improvements - City of Cle Elum</v>
      </c>
      <c r="B87" s="1" t="e">
        <v>#REF!</v>
      </c>
      <c r="C87" s="3" t="e">
        <v>#REF!</v>
      </c>
      <c r="D87" s="1" t="e">
        <f ca="1"/>
        <v>#REF!</v>
      </c>
    </row>
    <row r="88" spans="1:4" ht="12.75">
      <c r="A88" s="1" t="str">
        <f ca="1">IFERROR(__xludf.UNSUPPORTED("""COMPUTED_VALUE"""),"PR Distribution Project Model Conversion ETAP TO SKM CO#1")</f>
        <v>PR Distribution Project Model Conversion ETAP TO SKM CO#1</v>
      </c>
      <c r="B88" s="1" t="e">
        <v>#REF!</v>
      </c>
      <c r="C88" s="3" t="e">
        <v>#REF!</v>
      </c>
      <c r="D88" s="1" t="e">
        <f ca="1"/>
        <v>#REF!</v>
      </c>
    </row>
    <row r="89" spans="1:4" ht="12.75">
      <c r="A89" s="1" t="str">
        <f ca="1">IFERROR(__xludf.UNSUPPORTED("""COMPUTED_VALUE"""),"EED Schick Shadel")</f>
        <v>EED Schick Shadel</v>
      </c>
      <c r="B89" s="1" t="e">
        <v>#REF!</v>
      </c>
      <c r="C89" s="3" t="e">
        <v>#REF!</v>
      </c>
      <c r="D89" s="1" t="e">
        <f ca="1"/>
        <v>#REF!</v>
      </c>
    </row>
    <row r="90" spans="1:4" ht="12.75">
      <c r="A90" s="1" t="str">
        <f ca="1">IFERROR(__xludf.UNSUPPORTED("""COMPUTED_VALUE"""),"DNR Electrical Upgrades -Meridian")</f>
        <v>DNR Electrical Upgrades -Meridian</v>
      </c>
      <c r="B90" s="1" t="e">
        <v>#REF!</v>
      </c>
      <c r="C90" s="3" t="e">
        <v>#REF!</v>
      </c>
      <c r="D90" s="1" t="e">
        <f ca="1"/>
        <v>#REF!</v>
      </c>
    </row>
    <row r="91" spans="1:4" ht="12.75">
      <c r="A91" s="1" t="str">
        <f ca="1">IFERROR(__xludf.UNSUPPORTED("""COMPUTED_VALUE"""),"O'Neill Building West Wing, Lab 18 &amp; Lab 19")</f>
        <v>O'Neill Building West Wing, Lab 18 &amp; Lab 19</v>
      </c>
      <c r="B91" s="1" t="e">
        <v>#REF!</v>
      </c>
      <c r="C91" s="3" t="e">
        <v>#REF!</v>
      </c>
      <c r="D91" s="1" t="e">
        <f ca="1"/>
        <v>#REF!</v>
      </c>
    </row>
    <row r="92" spans="1:4" ht="12.75">
      <c r="A92" s="1" t="str">
        <f ca="1">IFERROR(__xludf.UNSUPPORTED("""COMPUTED_VALUE"""),"Marin County Veterans Memorial Auditorium Building Systems Upgrade")</f>
        <v>Marin County Veterans Memorial Auditorium Building Systems Upgrade</v>
      </c>
      <c r="B92" s="1" t="e">
        <v>#REF!</v>
      </c>
      <c r="C92" s="3" t="e">
        <v>#REF!</v>
      </c>
      <c r="D92" s="1" t="e">
        <f ca="1"/>
        <v>#REF!</v>
      </c>
    </row>
    <row r="93" spans="1:4" ht="12.75">
      <c r="A93" s="1" t="str">
        <f ca="1">IFERROR(__xludf.UNSUPPORTED("""COMPUTED_VALUE"""),"PR Distribution Project CO#2")</f>
        <v>PR Distribution Project CO#2</v>
      </c>
      <c r="B93" s="1" t="e">
        <v>#REF!</v>
      </c>
      <c r="C93" s="3" t="e">
        <v>#REF!</v>
      </c>
      <c r="D93" s="1" t="e">
        <f ca="1"/>
        <v>#REF!</v>
      </c>
    </row>
    <row r="94" spans="1:4" ht="12.75">
      <c r="A94" s="1" t="str">
        <f ca="1">IFERROR(__xludf.UNSUPPORTED("""COMPUTED_VALUE"""),"AMD Building D CO#3")</f>
        <v>AMD Building D CO#3</v>
      </c>
      <c r="B94" s="1" t="e">
        <v>#REF!</v>
      </c>
      <c r="C94" s="3" t="e">
        <v>#REF!</v>
      </c>
      <c r="D94" s="1" t="e">
        <f ca="1"/>
        <v>#REF!</v>
      </c>
    </row>
    <row r="95" spans="1:4" ht="12.75">
      <c r="A95" s="1" t="str">
        <f ca="1">IFERROR(__xludf.UNSUPPORTED("""COMPUTED_VALUE"""),"Snubber Nucor Gallatin Facility")</f>
        <v>Snubber Nucor Gallatin Facility</v>
      </c>
      <c r="B95" s="1" t="e">
        <v>#REF!</v>
      </c>
      <c r="C95" s="3" t="e">
        <v>#REF!</v>
      </c>
      <c r="D95" s="1" t="e">
        <f ca="1"/>
        <v>#REF!</v>
      </c>
    </row>
    <row r="96" spans="1:4" ht="12.75">
      <c r="A96" s="1" t="str">
        <f ca="1">IFERROR(__xludf.UNSUPPORTED("""COMPUTED_VALUE"""),"Reedly College AF Study")</f>
        <v>Reedly College AF Study</v>
      </c>
      <c r="B96" s="1" t="e">
        <v>#REF!</v>
      </c>
      <c r="C96" s="3" t="e">
        <v>#REF!</v>
      </c>
      <c r="D96" s="1" t="e">
        <f ca="1"/>
        <v>#REF!</v>
      </c>
    </row>
    <row r="97" spans="1:4" ht="12.75">
      <c r="A97" s="1" t="str">
        <f ca="1">IFERROR(__xludf.UNSUPPORTED("""COMPUTED_VALUE"""),"EED Schick Schadel SCCAF Study CO#1")</f>
        <v>EED Schick Schadel SCCAF Study CO#1</v>
      </c>
      <c r="B97" s="1" t="e">
        <v>#REF!</v>
      </c>
      <c r="C97" s="3" t="e">
        <v>#REF!</v>
      </c>
      <c r="D97" s="1" t="e">
        <f ca="1"/>
        <v>#REF!</v>
      </c>
    </row>
    <row r="98" spans="1:4" ht="12.75">
      <c r="A98" s="1" t="str">
        <f ca="1">IFERROR(__xludf.UNSUPPORTED("""COMPUTED_VALUE"""),"Hutto South WWTP Influent Lift Station")</f>
        <v>Hutto South WWTP Influent Lift Station</v>
      </c>
      <c r="B98" s="1" t="e">
        <v>#REF!</v>
      </c>
      <c r="C98" s="3" t="e">
        <v>#REF!</v>
      </c>
      <c r="D98" s="1" t="e">
        <f ca="1"/>
        <v>#REF!</v>
      </c>
    </row>
    <row r="99" spans="1:4" ht="12.75">
      <c r="A99" s="1" t="str">
        <f ca="1">IFERROR(__xludf.UNSUPPORTED("""COMPUTED_VALUE"""),"UCD Segundo Dinning Commons")</f>
        <v>UCD Segundo Dinning Commons</v>
      </c>
      <c r="B99" s="1" t="e">
        <v>#REF!</v>
      </c>
      <c r="C99" s="3" t="e">
        <v>#REF!</v>
      </c>
      <c r="D99" s="1" t="e">
        <f ca="1"/>
        <v>#REF!</v>
      </c>
    </row>
    <row r="100" spans="1:4" ht="12.75">
      <c r="A100" s="1" t="str">
        <f ca="1">IFERROR(__xludf.UNSUPPORTED("""COMPUTED_VALUE"""),"IAD192")</f>
        <v>IAD192</v>
      </c>
      <c r="B100" s="1" t="e">
        <v>#REF!</v>
      </c>
      <c r="C100" s="3" t="e">
        <v>#REF!</v>
      </c>
      <c r="D100" s="1" t="e">
        <f ca="1"/>
        <v>#REF!</v>
      </c>
    </row>
    <row r="101" spans="1:4" ht="12.75">
      <c r="A101" s="1" t="str">
        <f ca="1">IFERROR(__xludf.UNSUPPORTED("""COMPUTED_VALUE"""),"PR Distribution Project CO#3")</f>
        <v>PR Distribution Project CO#3</v>
      </c>
      <c r="B101" s="1" t="e">
        <v>#REF!</v>
      </c>
      <c r="C101" s="3" t="e">
        <v>#REF!</v>
      </c>
      <c r="D101" s="1" t="e">
        <f ca="1"/>
        <v>#REF!</v>
      </c>
    </row>
    <row r="102" spans="1:4" ht="12.75">
      <c r="A102" s="1" t="str">
        <f ca="1">IFERROR(__xludf.UNSUPPORTED("""COMPUTED_VALUE"""),"AMD Building D CO#4")</f>
        <v>AMD Building D CO#4</v>
      </c>
      <c r="B102" s="1" t="e">
        <v>#REF!</v>
      </c>
      <c r="C102" s="3" t="e">
        <v>#REF!</v>
      </c>
      <c r="D102" s="1" t="e">
        <f ca="1"/>
        <v>#REF!</v>
      </c>
    </row>
    <row r="103" spans="1:4" ht="12.75">
      <c r="A103" s="1" t="str">
        <f ca="1">IFERROR(__xludf.UNSUPPORTED("""COMPUTED_VALUE"""),"Battery Electric Bus Charging Infrastructure Phase 1 - El Monte Station (Div. 9)")</f>
        <v>Battery Electric Bus Charging Infrastructure Phase 1 - El Monte Station (Div. 9)</v>
      </c>
      <c r="B103" s="1" t="e">
        <v>#REF!</v>
      </c>
      <c r="C103" s="3" t="e">
        <v>#REF!</v>
      </c>
      <c r="D103" s="1" t="e">
        <f ca="1"/>
        <v>#REF!</v>
      </c>
    </row>
    <row r="104" spans="1:4" ht="12.75">
      <c r="A104" s="1" t="str">
        <f ca="1">IFERROR(__xludf.UNSUPPORTED("""COMPUTED_VALUE"""),"High Island ISD Construction of New K-12th School &amp; Gym")</f>
        <v>High Island ISD Construction of New K-12th School &amp; Gym</v>
      </c>
      <c r="B104" s="1" t="e">
        <v>#REF!</v>
      </c>
      <c r="C104" s="3" t="e">
        <v>#REF!</v>
      </c>
      <c r="D104" s="1" t="e">
        <f ca="1"/>
        <v>#REF!</v>
      </c>
    </row>
    <row r="105" spans="1:4" ht="12.75">
      <c r="A105" s="1" t="str">
        <f ca="1">IFERROR(__xludf.UNSUPPORTED("""COMPUTED_VALUE"""),"Makr Furniture Project")</f>
        <v>Makr Furniture Project</v>
      </c>
      <c r="B105" s="1" t="e">
        <v>#REF!</v>
      </c>
      <c r="C105" s="3" t="e">
        <v>#REF!</v>
      </c>
      <c r="D105" s="1" t="e">
        <f ca="1"/>
        <v>#REF!</v>
      </c>
    </row>
    <row r="106" spans="1:4" ht="12.75">
      <c r="A106" s="1" t="str">
        <f ca="1">IFERROR(__xludf.UNSUPPORTED("""COMPUTED_VALUE"""),"Project LAYLA")</f>
        <v>Project LAYLA</v>
      </c>
      <c r="B106" s="1" t="e">
        <v>#REF!</v>
      </c>
      <c r="C106" s="3" t="e">
        <v>#REF!</v>
      </c>
      <c r="D106" s="1" t="e">
        <f ca="1"/>
        <v>#REF!</v>
      </c>
    </row>
    <row r="107" spans="1:4" ht="12.75">
      <c r="A107" s="1" t="str">
        <f ca="1">IFERROR(__xludf.UNSUPPORTED("""COMPUTED_VALUE"""),"Multicare Endoscopy Center - Yakima")</f>
        <v>Multicare Endoscopy Center - Yakima</v>
      </c>
      <c r="B107" s="1" t="e">
        <v>#REF!</v>
      </c>
      <c r="C107" s="3" t="e">
        <v>#REF!</v>
      </c>
      <c r="D107" s="1" t="e">
        <f ca="1"/>
        <v>#REF!</v>
      </c>
    </row>
    <row r="108" spans="1:4" ht="12.75">
      <c r="A108" s="1" t="str">
        <f ca="1">IFERROR(__xludf.UNSUPPORTED("""COMPUTED_VALUE"""),"Elder - Turquoise Units")</f>
        <v>Elder - Turquoise Units</v>
      </c>
      <c r="B108" s="1" t="e">
        <v>#REF!</v>
      </c>
      <c r="C108" s="3" t="e">
        <v>#REF!</v>
      </c>
      <c r="D108" s="1" t="e">
        <f ca="1"/>
        <v>#REF!</v>
      </c>
    </row>
    <row r="109" spans="1:4" ht="12.75">
      <c r="A109" s="1" t="str">
        <f ca="1">IFERROR(__xludf.UNSUPPORTED("""COMPUTED_VALUE"""),"LIGO - CEBEX Laboratory")</f>
        <v>LIGO - CEBEX Laboratory</v>
      </c>
      <c r="B109" s="1" t="e">
        <v>#REF!</v>
      </c>
      <c r="C109" s="3" t="e">
        <v>#REF!</v>
      </c>
      <c r="D109" s="1" t="e">
        <f ca="1"/>
        <v>#REF!</v>
      </c>
    </row>
    <row r="110" spans="1:4" ht="12.75">
      <c r="A110" s="1" t="str">
        <f ca="1">IFERROR(__xludf.UNSUPPORTED("""COMPUTED_VALUE"""),"City of Palo Alto - UCC Generator Replacement")</f>
        <v>City of Palo Alto - UCC Generator Replacement</v>
      </c>
      <c r="B110" s="1" t="e">
        <v>#REF!</v>
      </c>
      <c r="C110" s="3" t="e">
        <v>#REF!</v>
      </c>
      <c r="D110" s="1" t="e">
        <f ca="1"/>
        <v>#REF!</v>
      </c>
    </row>
    <row r="111" spans="1:4" ht="12.75">
      <c r="A111" s="1" t="str">
        <f ca="1">IFERROR(__xludf.UNSUPPORTED("""COMPUTED_VALUE"""),"Amazon Warehouse - ABQ1 OBD-A")</f>
        <v>Amazon Warehouse - ABQ1 OBD-A</v>
      </c>
      <c r="B111" s="1" t="e">
        <v>#REF!</v>
      </c>
      <c r="C111" s="3" t="e">
        <v>#REF!</v>
      </c>
      <c r="D111" s="1" t="e">
        <f ca="1"/>
        <v>#REF!</v>
      </c>
    </row>
    <row r="112" spans="1:4" ht="12.75">
      <c r="A112" s="1" t="str">
        <f ca="1">IFERROR(__xludf.UNSUPPORTED("""COMPUTED_VALUE"""),"Entegris Project")</f>
        <v>Entegris Project</v>
      </c>
      <c r="B112" s="1" t="e">
        <v>#REF!</v>
      </c>
      <c r="C112" s="3" t="e">
        <v>#REF!</v>
      </c>
      <c r="D112" s="1" t="e">
        <f ca="1"/>
        <v>#REF!</v>
      </c>
    </row>
    <row r="113" spans="1:4" ht="12.75">
      <c r="A113" s="1" t="str">
        <f ca="1">IFERROR(__xludf.UNSUPPORTED("""COMPUTED_VALUE"""),"Skywalker Phase 3.4A")</f>
        <v>Skywalker Phase 3.4A</v>
      </c>
      <c r="B113" s="1" t="e">
        <v>#REF!</v>
      </c>
      <c r="C113" s="3" t="e">
        <v>#REF!</v>
      </c>
      <c r="D113" s="1" t="e">
        <f ca="1"/>
        <v>#REF!</v>
      </c>
    </row>
    <row r="114" spans="1:4" ht="12.75">
      <c r="A114" s="1" t="str">
        <f ca="1">IFERROR(__xludf.UNSUPPORTED("""COMPUTED_VALUE"""),"West Coast Grocery Co - IRGRA")</f>
        <v>West Coast Grocery Co - IRGRA</v>
      </c>
      <c r="B114" s="1" t="e">
        <v>#REF!</v>
      </c>
      <c r="C114" s="3" t="e">
        <v>#REF!</v>
      </c>
      <c r="D114" s="1" t="e">
        <f ca="1"/>
        <v>#REF!</v>
      </c>
    </row>
    <row r="115" spans="1:4" ht="12.75">
      <c r="A115" s="1" t="str">
        <f ca="1">IFERROR(__xludf.UNSUPPORTED("""COMPUTED_VALUE"""),"Old Port 1 Lift Station - City of Olympia")</f>
        <v>Old Port 1 Lift Station - City of Olympia</v>
      </c>
      <c r="B115" s="1" t="e">
        <v>#REF!</v>
      </c>
      <c r="C115" s="3" t="e">
        <v>#REF!</v>
      </c>
      <c r="D115" s="1" t="e">
        <f ca="1"/>
        <v>#REF!</v>
      </c>
    </row>
    <row r="116" spans="1:4" ht="12.75">
      <c r="A116" s="1" t="str">
        <f ca="1">IFERROR(__xludf.UNSUPPORTED("""COMPUTED_VALUE"""),"Domiguez Water Pump Coordination Study")</f>
        <v>Domiguez Water Pump Coordination Study</v>
      </c>
      <c r="B116" s="1" t="e">
        <v>#REF!</v>
      </c>
      <c r="C116" s="3" t="e">
        <v>#REF!</v>
      </c>
      <c r="D116" s="1" t="e">
        <f ca="1"/>
        <v>#REF!</v>
      </c>
    </row>
    <row r="117" spans="1:4" ht="12.75">
      <c r="A117" s="1" t="str">
        <f ca="1">IFERROR(__xludf.UNSUPPORTED("""COMPUTED_VALUE"""),"Snubber Nucor Gallatin Facility CO#1")</f>
        <v>Snubber Nucor Gallatin Facility CO#1</v>
      </c>
      <c r="B117" s="1" t="e">
        <v>#REF!</v>
      </c>
      <c r="C117" s="3" t="e">
        <v>#REF!</v>
      </c>
      <c r="D117" s="1" t="e">
        <f ca="1"/>
        <v>#REF!</v>
      </c>
    </row>
    <row r="118" spans="1:4" ht="12.75">
      <c r="A118" s="1" t="str">
        <f ca="1">IFERROR(__xludf.UNSUPPORTED("""COMPUTED_VALUE"""),"Irvine Valley College - Arts Promenade and Coffee Structure")</f>
        <v>Irvine Valley College - Arts Promenade and Coffee Structure</v>
      </c>
      <c r="B118" s="1" t="e">
        <v>#REF!</v>
      </c>
      <c r="C118" s="3" t="e">
        <v>#REF!</v>
      </c>
      <c r="D118" s="1" t="e">
        <f ca="1"/>
        <v>#REF!</v>
      </c>
    </row>
    <row r="119" spans="1:4" ht="12.75">
      <c r="A119" s="1" t="str">
        <f ca="1">IFERROR(__xludf.UNSUPPORTED("""COMPUTED_VALUE"""),"Moccasin WTFS Project")</f>
        <v>Moccasin WTFS Project</v>
      </c>
      <c r="B119" s="1" t="e">
        <v>#REF!</v>
      </c>
      <c r="C119" s="3" t="e">
        <v>#REF!</v>
      </c>
      <c r="D119" s="1" t="e">
        <f ca="1"/>
        <v>#REF!</v>
      </c>
    </row>
    <row r="120" spans="1:4" ht="12.75">
      <c r="A120" s="1" t="str">
        <f ca="1">IFERROR(__xludf.UNSUPPORTED("""COMPUTED_VALUE"""),"Zones Auburn
")</f>
        <v xml:space="preserve">Zones Auburn
</v>
      </c>
      <c r="B120" s="1" t="e">
        <v>#REF!</v>
      </c>
      <c r="C120" s="3" t="e">
        <v>#REF!</v>
      </c>
      <c r="D120" s="1" t="e">
        <f ca="1"/>
        <v>#REF!</v>
      </c>
    </row>
    <row r="121" spans="1:4" ht="12.75">
      <c r="A121" s="1" t="str">
        <f ca="1">IFERROR(__xludf.UNSUPPORTED("""COMPUTED_VALUE"""),"Country Place PFAS Treatment Project CO#1 - Lakewood Water District")</f>
        <v>Country Place PFAS Treatment Project CO#1 - Lakewood Water District</v>
      </c>
      <c r="B121" s="1" t="e">
        <v>#REF!</v>
      </c>
      <c r="C121" s="3" t="e">
        <v>#REF!</v>
      </c>
      <c r="D121" s="1" t="e">
        <f ca="1"/>
        <v>#REF!</v>
      </c>
    </row>
    <row r="122" spans="1:4" ht="12.75">
      <c r="A122" s="1" t="str">
        <f ca="1">IFERROR(__xludf.UNSUPPORTED("""COMPUTED_VALUE"""),"NMSU Computer Center
")</f>
        <v xml:space="preserve">NMSU Computer Center
</v>
      </c>
      <c r="B122" s="1" t="e">
        <v>#REF!</v>
      </c>
      <c r="C122" s="3" t="e">
        <v>#REF!</v>
      </c>
      <c r="D122" s="1" t="e">
        <f ca="1"/>
        <v>#REF!</v>
      </c>
    </row>
    <row r="123" spans="1:4" ht="12.75">
      <c r="A123" s="1" t="str">
        <f ca="1">IFERROR(__xludf.UNSUPPORTED("""COMPUTED_VALUE"""),"Arnold WWTF Phase I Improvements Project
")</f>
        <v xml:space="preserve">Arnold WWTF Phase I Improvements Project
</v>
      </c>
      <c r="B123" s="1" t="e">
        <v>#REF!</v>
      </c>
      <c r="C123" s="3" t="e">
        <v>#REF!</v>
      </c>
      <c r="D123" s="1" t="e">
        <f ca="1"/>
        <v>#REF!</v>
      </c>
    </row>
    <row r="124" spans="1:4" ht="12.75">
      <c r="A124" s="1" t="str">
        <f ca="1">IFERROR(__xludf.UNSUPPORTED("""COMPUTED_VALUE"""),"UCD Segundo Dining Commons CO#1
")</f>
        <v xml:space="preserve">UCD Segundo Dining Commons CO#1
</v>
      </c>
      <c r="B124" s="1" t="e">
        <v>#REF!</v>
      </c>
      <c r="C124" s="3" t="e">
        <v>#REF!</v>
      </c>
      <c r="D124" s="1" t="e">
        <f ca="1"/>
        <v>#REF!</v>
      </c>
    </row>
    <row r="125" spans="1:4" ht="12.75">
      <c r="A125" s="1" t="str">
        <f ca="1">IFERROR(__xludf.UNSUPPORTED("""COMPUTED_VALUE"""),"Wesco Generator
")</f>
        <v xml:space="preserve">Wesco Generator
</v>
      </c>
      <c r="B125" s="1" t="e">
        <v>#REF!</v>
      </c>
      <c r="C125" s="3" t="e">
        <v>#REF!</v>
      </c>
      <c r="D125" s="1" t="e">
        <f ca="1"/>
        <v>#REF!</v>
      </c>
    </row>
    <row r="126" spans="1:4" ht="12.75">
      <c r="A126" s="1" t="str">
        <f ca="1">IFERROR(__xludf.UNSUPPORTED("""COMPUTED_VALUE"""),"Sewage Pump Station Improvement - North Tahoe PUD
")</f>
        <v xml:space="preserve">Sewage Pump Station Improvement - North Tahoe PUD
</v>
      </c>
      <c r="B126" s="1" t="e">
        <v>#REF!</v>
      </c>
      <c r="C126" s="3" t="e">
        <v>#REF!</v>
      </c>
      <c r="D126" s="1" t="e">
        <f ca="1"/>
        <v>#REF!</v>
      </c>
    </row>
    <row r="127" spans="1:4" ht="12.75">
      <c r="A127" s="1" t="str">
        <f ca="1">IFERROR(__xludf.UNSUPPORTED("""COMPUTED_VALUE"""),"Smithson Valley HS Interior Renovation - Comal I.S.D
")</f>
        <v xml:space="preserve">Smithson Valley HS Interior Renovation - Comal I.S.D
</v>
      </c>
      <c r="B127" s="1" t="e">
        <v>#REF!</v>
      </c>
      <c r="C127" s="3" t="e">
        <v>#REF!</v>
      </c>
      <c r="D127" s="1" t="e">
        <f ca="1"/>
        <v>#REF!</v>
      </c>
    </row>
    <row r="128" spans="1:4" ht="12.75">
      <c r="A128" s="1" t="str">
        <f ca="1">IFERROR(__xludf.UNSUPPORTED("""COMPUTED_VALUE"""),"Cart Wash Replacement - CCRMC")</f>
        <v>Cart Wash Replacement - CCRMC</v>
      </c>
      <c r="B128" s="1" t="e">
        <v>#REF!</v>
      </c>
      <c r="C128" s="3" t="e">
        <v>#REF!</v>
      </c>
      <c r="D128" s="1" t="e">
        <f ca="1"/>
        <v>#REF!</v>
      </c>
    </row>
    <row r="129" spans="1:4" ht="12.75">
      <c r="A129" s="1" t="str">
        <f ca="1">IFERROR(__xludf.UNSUPPORTED("""COMPUTED_VALUE"""),"TJJD Evins Generator Improvements - ERJC")</f>
        <v>TJJD Evins Generator Improvements - ERJC</v>
      </c>
      <c r="B129" s="1" t="e">
        <v>#REF!</v>
      </c>
      <c r="C129" s="3" t="e">
        <v>#REF!</v>
      </c>
      <c r="D129" s="1" t="e">
        <f ca="1"/>
        <v>#REF!</v>
      </c>
    </row>
    <row r="130" spans="1:4" ht="12.75">
      <c r="A130" s="1" t="str">
        <f ca="1">IFERROR(__xludf.UNSUPPORTED("""COMPUTED_VALUE"""),"Skywalker Complete Facility")</f>
        <v>Skywalker Complete Facility</v>
      </c>
      <c r="B130" s="1" t="e">
        <v>#REF!</v>
      </c>
      <c r="C130" s="3" t="e">
        <v>#REF!</v>
      </c>
      <c r="D130" s="1" t="e">
        <f ca="1"/>
        <v>#REF!</v>
      </c>
    </row>
    <row r="131" spans="1:4" ht="12.75">
      <c r="A131" s="1" t="str">
        <f ca="1">IFERROR(__xludf.UNSUPPORTED("""COMPUTED_VALUE"""),"White Oaks Elementary School HVAC Upgrades - San Carlos")</f>
        <v>White Oaks Elementary School HVAC Upgrades - San Carlos</v>
      </c>
      <c r="B131" s="1" t="e">
        <v>#REF!</v>
      </c>
      <c r="C131" s="3" t="e">
        <v>#REF!</v>
      </c>
      <c r="D131" s="1" t="e">
        <f ca="1"/>
        <v>#REF!</v>
      </c>
    </row>
    <row r="132" spans="1:4" ht="12.75">
      <c r="A132" s="1" t="str">
        <f ca="1">IFERROR(__xludf.UNSUPPORTED("""COMPUTED_VALUE"""),"Fujimi CMP2
")</f>
        <v xml:space="preserve">Fujimi CMP2
</v>
      </c>
      <c r="B132" s="1" t="e">
        <v>#REF!</v>
      </c>
      <c r="C132" s="3" t="e">
        <v>#REF!</v>
      </c>
      <c r="D132" s="1" t="e">
        <f ca="1"/>
        <v>#REF!</v>
      </c>
    </row>
    <row r="133" spans="1:4" ht="12.75">
      <c r="A133" s="1" t="str">
        <f ca="1">IFERROR(__xludf.UNSUPPORTED("""COMPUTED_VALUE"""),"Maintenance Facilities - City of Issaquah
")</f>
        <v xml:space="preserve">Maintenance Facilities - City of Issaquah
</v>
      </c>
      <c r="B133" s="1" t="e">
        <v>#REF!</v>
      </c>
      <c r="C133" s="3" t="e">
        <v>#REF!</v>
      </c>
      <c r="D133" s="1" t="e">
        <f ca="1"/>
        <v>#REF!</v>
      </c>
    </row>
    <row r="134" spans="1:4" ht="12.75">
      <c r="A134" s="1" t="str">
        <f ca="1">IFERROR(__xludf.UNSUPPORTED("""COMPUTED_VALUE"""),"John Muir ES New TKK - AUSD
")</f>
        <v xml:space="preserve">John Muir ES New TKK - AUSD
</v>
      </c>
      <c r="B134" s="1" t="e">
        <v>#REF!</v>
      </c>
      <c r="C134" s="3" t="e">
        <v>#REF!</v>
      </c>
      <c r="D134" s="1" t="e">
        <f ca="1"/>
        <v>#REF!</v>
      </c>
    </row>
    <row r="135" spans="1:4" ht="12.75">
      <c r="A135" s="1" t="str">
        <f ca="1">IFERROR(__xludf.UNSUPPORTED("""COMPUTED_VALUE"""),"West Portal Elementary School Modernization Phase 2
")</f>
        <v xml:space="preserve">West Portal Elementary School Modernization Phase 2
</v>
      </c>
      <c r="B135" s="1" t="e">
        <v>#REF!</v>
      </c>
      <c r="C135" s="3" t="e">
        <v>#REF!</v>
      </c>
      <c r="D135" s="1" t="e">
        <f ca="1"/>
        <v>#REF!</v>
      </c>
    </row>
    <row r="136" spans="1:4" ht="12.75">
      <c r="A136" s="1" t="str">
        <f ca="1">IFERROR(__xludf.UNSUPPORTED("""COMPUTED_VALUE"""),"Fire Station 52 - Comal County ESD 3
")</f>
        <v xml:space="preserve">Fire Station 52 - Comal County ESD 3
</v>
      </c>
      <c r="B136" s="1" t="e">
        <v>#REF!</v>
      </c>
      <c r="C136" s="3" t="e">
        <v>#REF!</v>
      </c>
      <c r="D136" s="1" t="e">
        <f ca="1"/>
        <v>#REF!</v>
      </c>
    </row>
    <row r="137" spans="1:4" ht="12.75">
      <c r="A137" s="1" t="str">
        <f ca="1">IFERROR(__xludf.UNSUPPORTED("""COMPUTED_VALUE"""),"Oak Harbor Storage CTE Building
")</f>
        <v xml:space="preserve">Oak Harbor Storage CTE Building
</v>
      </c>
      <c r="B137" s="1" t="e">
        <v>#REF!</v>
      </c>
      <c r="C137" s="3" t="e">
        <v>#REF!</v>
      </c>
      <c r="D137" s="1" t="e">
        <f ca="1"/>
        <v>#REF!</v>
      </c>
    </row>
    <row r="138" spans="1:4" ht="12.75">
      <c r="A138" s="1" t="str">
        <f ca="1">IFERROR(__xludf.UNSUPPORTED("""COMPUTED_VALUE"""),"Rainier HS Main Service Switchboard Replacement
")</f>
        <v xml:space="preserve">Rainier HS Main Service Switchboard Replacement
</v>
      </c>
      <c r="B138" s="1" t="e">
        <v>#REF!</v>
      </c>
      <c r="C138" s="3" t="e">
        <v>#REF!</v>
      </c>
      <c r="D138" s="1" t="e">
        <f ca="1"/>
        <v>#REF!</v>
      </c>
    </row>
    <row r="139" spans="1:4" ht="12.75">
      <c r="A139" s="1" t="str">
        <f ca="1">IFERROR(__xludf.UNSUPPORTED("""COMPUTED_VALUE"""),"EED Schick Schadel SCCAF Study CO#2
")</f>
        <v xml:space="preserve">EED Schick Schadel SCCAF Study CO#2
</v>
      </c>
      <c r="B139" s="1" t="e">
        <v>#REF!</v>
      </c>
      <c r="C139" s="3" t="e">
        <v>#REF!</v>
      </c>
      <c r="D139" s="1" t="e">
        <f ca="1"/>
        <v>#REF!</v>
      </c>
    </row>
    <row r="140" spans="1:4" ht="12.75">
      <c r="A140" s="1" t="str">
        <f ca="1">IFERROR(__xludf.UNSUPPORTED("""COMPUTED_VALUE"""),"Walnut Grove Elementary School TK Building - PUSD
")</f>
        <v xml:space="preserve">Walnut Grove Elementary School TK Building - PUSD
</v>
      </c>
      <c r="B140" s="1" t="e">
        <v>#REF!</v>
      </c>
      <c r="C140" s="3" t="e">
        <v>#REF!</v>
      </c>
      <c r="D140" s="1" t="e">
        <f ca="1"/>
        <v>#REF!</v>
      </c>
    </row>
    <row r="141" spans="1:4" ht="12.75">
      <c r="A141" s="1" t="str">
        <f ca="1">IFERROR(__xludf.UNSUPPORTED("""COMPUTED_VALUE"""),"PSS DWS5 Phase 1E - Everett, WA
")</f>
        <v xml:space="preserve">PSS DWS5 Phase 1E - Everett, WA
</v>
      </c>
      <c r="B141" s="1" t="e">
        <v>#REF!</v>
      </c>
      <c r="C141" s="3" t="e">
        <v>#REF!</v>
      </c>
      <c r="D141" s="1" t="e">
        <f ca="1"/>
        <v>#REF!</v>
      </c>
    </row>
    <row r="142" spans="1:4" ht="12.75">
      <c r="A142" s="1" t="str">
        <f ca="1">IFERROR(__xludf.UNSUPPORTED("""COMPUTED_VALUE"""),"New Electrical Service at HESD Central Kitchen
")</f>
        <v xml:space="preserve">New Electrical Service at HESD Central Kitchen
</v>
      </c>
      <c r="B142" s="1" t="e">
        <v>#REF!</v>
      </c>
      <c r="C142" s="3" t="e">
        <v>#REF!</v>
      </c>
      <c r="D142" s="1" t="e">
        <f ca="1"/>
        <v>#REF!</v>
      </c>
    </row>
    <row r="143" spans="1:4" ht="12.75">
      <c r="A143" s="1" t="str">
        <f ca="1">IFERROR(__xludf.UNSUPPORTED("""COMPUTED_VALUE"""),"Canadian Solar Project CO#1")</f>
        <v>Canadian Solar Project CO#1</v>
      </c>
      <c r="B143" s="1" t="e">
        <v>#REF!</v>
      </c>
      <c r="C143" s="3" t="e">
        <v>#REF!</v>
      </c>
      <c r="D143" s="1" t="e">
        <f ca="1"/>
        <v>#REF!</v>
      </c>
    </row>
    <row r="144" spans="1:4" ht="12.75">
      <c r="B144" s="1" t="e">
        <v>#REF!</v>
      </c>
      <c r="C144" s="3" t="e">
        <v>#REF!</v>
      </c>
      <c r="D144" s="1" t="str">
        <f ca="1"/>
        <v/>
      </c>
    </row>
    <row r="145" spans="2:4" ht="12.75">
      <c r="B145" s="1" t="e">
        <v>#REF!</v>
      </c>
      <c r="C145" s="3" t="e">
        <v>#REF!</v>
      </c>
      <c r="D145" s="1" t="str">
        <f ca="1"/>
        <v/>
      </c>
    </row>
    <row r="146" spans="2:4" ht="12.75">
      <c r="B146" s="1" t="e">
        <v>#REF!</v>
      </c>
      <c r="C146" s="3" t="e">
        <v>#REF!</v>
      </c>
      <c r="D146" s="1" t="str">
        <f ca="1"/>
        <v/>
      </c>
    </row>
    <row r="147" spans="2:4" ht="12.75">
      <c r="B147" s="1" t="e">
        <v>#REF!</v>
      </c>
      <c r="C147" s="3" t="e">
        <v>#REF!</v>
      </c>
      <c r="D147" s="1" t="str">
        <f ca="1"/>
        <v/>
      </c>
    </row>
    <row r="148" spans="2:4" ht="12.75">
      <c r="B148" s="1" t="e">
        <v>#REF!</v>
      </c>
      <c r="C148" s="3" t="e">
        <v>#REF!</v>
      </c>
      <c r="D148" s="1" t="str">
        <f ca="1"/>
        <v/>
      </c>
    </row>
    <row r="149" spans="2:4" ht="12.75">
      <c r="B149" s="1" t="e">
        <v>#REF!</v>
      </c>
      <c r="C149" s="3" t="e">
        <v>#REF!</v>
      </c>
      <c r="D149" s="1" t="str">
        <f ca="1"/>
        <v/>
      </c>
    </row>
    <row r="150" spans="2:4" ht="12.75">
      <c r="B150" s="1" t="e">
        <v>#REF!</v>
      </c>
      <c r="C150" s="3" t="e">
        <v>#REF!</v>
      </c>
      <c r="D150" s="1" t="str">
        <f ca="1"/>
        <v/>
      </c>
    </row>
    <row r="151" spans="2:4" ht="12.75">
      <c r="B151" s="1" t="e">
        <v>#REF!</v>
      </c>
      <c r="C151" s="3" t="e">
        <v>#REF!</v>
      </c>
      <c r="D151" s="1" t="str">
        <f ca="1"/>
        <v/>
      </c>
    </row>
    <row r="152" spans="2:4" ht="12.75">
      <c r="B152" s="1" t="e">
        <v>#REF!</v>
      </c>
      <c r="C152" s="3" t="e">
        <v>#REF!</v>
      </c>
      <c r="D152" s="1" t="str">
        <f ca="1"/>
        <v/>
      </c>
    </row>
    <row r="153" spans="2:4" ht="12.75">
      <c r="B153" s="1" t="e">
        <v>#REF!</v>
      </c>
      <c r="C153" s="3" t="e">
        <v>#REF!</v>
      </c>
      <c r="D153" s="1" t="str">
        <f ca="1"/>
        <v/>
      </c>
    </row>
    <row r="154" spans="2:4" ht="12.75">
      <c r="B154" s="1" t="e">
        <v>#REF!</v>
      </c>
      <c r="C154" s="3" t="e">
        <v>#REF!</v>
      </c>
      <c r="D154" s="1" t="str">
        <f ca="1"/>
        <v/>
      </c>
    </row>
    <row r="155" spans="2:4" ht="12.75">
      <c r="B155" s="1" t="e">
        <v>#REF!</v>
      </c>
      <c r="C155" s="3" t="e">
        <v>#REF!</v>
      </c>
      <c r="D155" s="1" t="str">
        <f ca="1"/>
        <v/>
      </c>
    </row>
    <row r="156" spans="2:4" ht="12.75">
      <c r="B156" s="1" t="e">
        <v>#REF!</v>
      </c>
      <c r="C156" s="3" t="e">
        <v>#REF!</v>
      </c>
      <c r="D156" s="1" t="str">
        <f ca="1"/>
        <v/>
      </c>
    </row>
    <row r="157" spans="2:4" ht="12.75">
      <c r="B157" s="1" t="e">
        <v>#REF!</v>
      </c>
      <c r="C157" s="3" t="e">
        <v>#REF!</v>
      </c>
      <c r="D157" s="1" t="str">
        <f ca="1"/>
        <v/>
      </c>
    </row>
    <row r="158" spans="2:4" ht="12.75">
      <c r="B158" s="1" t="e">
        <v>#REF!</v>
      </c>
      <c r="C158" s="3" t="e">
        <v>#REF!</v>
      </c>
      <c r="D158" s="1" t="str">
        <f ca="1"/>
        <v/>
      </c>
    </row>
    <row r="159" spans="2:4" ht="12.75">
      <c r="B159" s="1" t="e">
        <v>#REF!</v>
      </c>
      <c r="C159" s="3" t="e">
        <v>#REF!</v>
      </c>
      <c r="D159" s="1" t="str">
        <f ca="1"/>
        <v/>
      </c>
    </row>
    <row r="160" spans="2:4" ht="12.75">
      <c r="B160" s="1" t="e">
        <v>#REF!</v>
      </c>
      <c r="C160" s="3" t="e">
        <v>#REF!</v>
      </c>
      <c r="D160" s="1" t="str">
        <f ca="1"/>
        <v/>
      </c>
    </row>
    <row r="161" spans="2:4" ht="12.75">
      <c r="B161" s="1" t="e">
        <v>#REF!</v>
      </c>
      <c r="C161" s="3" t="e">
        <v>#REF!</v>
      </c>
      <c r="D161" s="1" t="str">
        <f ca="1"/>
        <v/>
      </c>
    </row>
    <row r="162" spans="2:4" ht="12.75">
      <c r="B162" s="1" t="e">
        <v>#REF!</v>
      </c>
      <c r="C162" s="3" t="e">
        <v>#REF!</v>
      </c>
      <c r="D162" s="1" t="str">
        <f ca="1"/>
        <v/>
      </c>
    </row>
    <row r="163" spans="2:4" ht="12.75">
      <c r="B163" s="1" t="e">
        <v>#REF!</v>
      </c>
      <c r="C163" s="3" t="e">
        <v>#REF!</v>
      </c>
      <c r="D163" s="1" t="str">
        <f ca="1"/>
        <v/>
      </c>
    </row>
    <row r="164" spans="2:4" ht="12.75">
      <c r="B164" s="1" t="e">
        <v>#REF!</v>
      </c>
      <c r="C164" s="3" t="e">
        <v>#REF!</v>
      </c>
      <c r="D164" s="1" t="str">
        <f ca="1"/>
        <v/>
      </c>
    </row>
    <row r="165" spans="2:4" ht="12.75">
      <c r="B165" s="1" t="e">
        <v>#REF!</v>
      </c>
      <c r="C165" s="3" t="e">
        <v>#REF!</v>
      </c>
      <c r="D165" s="1" t="str">
        <f ca="1"/>
        <v/>
      </c>
    </row>
    <row r="166" spans="2:4" ht="12.75">
      <c r="B166" s="1" t="e">
        <v>#REF!</v>
      </c>
      <c r="C166" s="3" t="e">
        <v>#REF!</v>
      </c>
      <c r="D166" s="1" t="str">
        <f ca="1"/>
        <v/>
      </c>
    </row>
    <row r="167" spans="2:4" ht="12.75">
      <c r="B167" s="1" t="e">
        <v>#REF!</v>
      </c>
      <c r="C167" s="3" t="e">
        <v>#REF!</v>
      </c>
      <c r="D167" s="1" t="str">
        <f ca="1"/>
        <v/>
      </c>
    </row>
    <row r="168" spans="2:4" ht="12.75">
      <c r="B168" s="1" t="e">
        <v>#REF!</v>
      </c>
      <c r="C168" s="3" t="e">
        <v>#REF!</v>
      </c>
      <c r="D168" s="1" t="str">
        <f ca="1"/>
        <v/>
      </c>
    </row>
    <row r="169" spans="2:4" ht="12.75">
      <c r="B169" s="1" t="e">
        <v>#REF!</v>
      </c>
      <c r="C169" s="3" t="e">
        <v>#REF!</v>
      </c>
      <c r="D169" s="1" t="str">
        <f ca="1"/>
        <v/>
      </c>
    </row>
    <row r="170" spans="2:4" ht="12.75">
      <c r="B170" s="1" t="e">
        <v>#REF!</v>
      </c>
      <c r="C170" s="3" t="e">
        <v>#REF!</v>
      </c>
      <c r="D170" s="1" t="str">
        <f ca="1"/>
        <v/>
      </c>
    </row>
    <row r="171" spans="2:4" ht="12.75">
      <c r="B171" s="1" t="e">
        <v>#REF!</v>
      </c>
      <c r="C171" s="3" t="e">
        <v>#REF!</v>
      </c>
      <c r="D171" s="1" t="str">
        <f ca="1"/>
        <v/>
      </c>
    </row>
    <row r="172" spans="2:4" ht="12.75">
      <c r="B172" s="1" t="e">
        <v>#REF!</v>
      </c>
      <c r="C172" s="3" t="e">
        <v>#REF!</v>
      </c>
      <c r="D172" s="1" t="str">
        <f ca="1"/>
        <v/>
      </c>
    </row>
    <row r="173" spans="2:4" ht="12.75">
      <c r="B173" s="1" t="e">
        <v>#REF!</v>
      </c>
      <c r="C173" s="3" t="e">
        <v>#REF!</v>
      </c>
      <c r="D173" s="1" t="str">
        <f ca="1"/>
        <v/>
      </c>
    </row>
    <row r="174" spans="2:4" ht="12.75">
      <c r="B174" s="1" t="e">
        <v>#REF!</v>
      </c>
      <c r="C174" s="3" t="e">
        <v>#REF!</v>
      </c>
      <c r="D174" s="1" t="str">
        <f ca="1"/>
        <v/>
      </c>
    </row>
    <row r="175" spans="2:4" ht="12.75">
      <c r="B175" s="1" t="e">
        <v>#REF!</v>
      </c>
      <c r="C175" s="3" t="e">
        <v>#REF!</v>
      </c>
      <c r="D175" s="1" t="str">
        <f ca="1"/>
        <v/>
      </c>
    </row>
    <row r="176" spans="2:4" ht="12.75">
      <c r="B176" s="1" t="e">
        <v>#REF!</v>
      </c>
      <c r="C176" s="3" t="e">
        <v>#REF!</v>
      </c>
      <c r="D176" s="1" t="str">
        <f ca="1"/>
        <v/>
      </c>
    </row>
    <row r="177" spans="2:4" ht="12.75">
      <c r="B177" s="1" t="e">
        <v>#REF!</v>
      </c>
      <c r="C177" s="3" t="e">
        <v>#REF!</v>
      </c>
      <c r="D177" s="1" t="str">
        <f ca="1"/>
        <v/>
      </c>
    </row>
    <row r="178" spans="2:4" ht="12.75">
      <c r="B178" s="1" t="e">
        <v>#REF!</v>
      </c>
      <c r="C178" s="3" t="e">
        <v>#REF!</v>
      </c>
      <c r="D178" s="1" t="str">
        <f ca="1"/>
        <v/>
      </c>
    </row>
    <row r="179" spans="2:4" ht="12.75">
      <c r="B179" s="1" t="e">
        <v>#REF!</v>
      </c>
      <c r="C179" s="3" t="e">
        <v>#REF!</v>
      </c>
      <c r="D179" s="1" t="str">
        <f ca="1"/>
        <v/>
      </c>
    </row>
    <row r="180" spans="2:4" ht="12.75">
      <c r="B180" s="1" t="e">
        <v>#REF!</v>
      </c>
      <c r="C180" s="3" t="e">
        <v>#REF!</v>
      </c>
      <c r="D180" s="1" t="str">
        <f ca="1"/>
        <v/>
      </c>
    </row>
    <row r="181" spans="2:4" ht="12.75">
      <c r="B181" s="1" t="e">
        <v>#REF!</v>
      </c>
      <c r="C181" s="3" t="e">
        <v>#REF!</v>
      </c>
      <c r="D181" s="1" t="str">
        <f ca="1"/>
        <v/>
      </c>
    </row>
    <row r="182" spans="2:4" ht="12.75">
      <c r="B182" s="1" t="e">
        <v>#REF!</v>
      </c>
      <c r="C182" s="3" t="e">
        <v>#REF!</v>
      </c>
      <c r="D182" s="1" t="str">
        <f ca="1"/>
        <v/>
      </c>
    </row>
    <row r="183" spans="2:4" ht="12.75">
      <c r="B183" s="1" t="e">
        <v>#REF!</v>
      </c>
      <c r="C183" s="3" t="e">
        <v>#REF!</v>
      </c>
      <c r="D183" s="1" t="str">
        <f ca="1"/>
        <v/>
      </c>
    </row>
    <row r="184" spans="2:4" ht="12.75">
      <c r="B184" s="1" t="e">
        <v>#REF!</v>
      </c>
      <c r="C184" s="3" t="e">
        <v>#REF!</v>
      </c>
      <c r="D184" s="1" t="str">
        <f ca="1"/>
        <v/>
      </c>
    </row>
    <row r="185" spans="2:4" ht="12.75">
      <c r="B185" s="1" t="e">
        <v>#REF!</v>
      </c>
      <c r="C185" s="3" t="e">
        <v>#REF!</v>
      </c>
      <c r="D185" s="1" t="str">
        <f ca="1"/>
        <v/>
      </c>
    </row>
    <row r="186" spans="2:4" ht="12.75">
      <c r="B186" s="1" t="e">
        <v>#REF!</v>
      </c>
      <c r="C186" s="3" t="e">
        <v>#REF!</v>
      </c>
      <c r="D186" s="1" t="str">
        <f ca="1"/>
        <v/>
      </c>
    </row>
    <row r="187" spans="2:4" ht="12.75">
      <c r="B187" s="1" t="e">
        <v>#REF!</v>
      </c>
      <c r="C187" s="3" t="e">
        <v>#REF!</v>
      </c>
      <c r="D187" s="1" t="str">
        <f ca="1"/>
        <v/>
      </c>
    </row>
    <row r="188" spans="2:4" ht="12.75">
      <c r="B188" s="1" t="e">
        <v>#REF!</v>
      </c>
      <c r="C188" s="3" t="e">
        <v>#REF!</v>
      </c>
      <c r="D188" s="1" t="str">
        <f ca="1"/>
        <v/>
      </c>
    </row>
    <row r="189" spans="2:4" ht="12.75">
      <c r="B189" s="1" t="e">
        <v>#REF!</v>
      </c>
      <c r="C189" s="3" t="e">
        <v>#REF!</v>
      </c>
      <c r="D189" s="1" t="str">
        <f ca="1"/>
        <v/>
      </c>
    </row>
    <row r="190" spans="2:4" ht="12.75">
      <c r="B190" s="1" t="e">
        <v>#REF!</v>
      </c>
      <c r="C190" s="3" t="e">
        <v>#REF!</v>
      </c>
      <c r="D190" s="1" t="str">
        <f ca="1"/>
        <v/>
      </c>
    </row>
    <row r="191" spans="2:4" ht="12.75">
      <c r="B191" s="1" t="e">
        <v>#REF!</v>
      </c>
      <c r="C191" s="3" t="e">
        <v>#REF!</v>
      </c>
      <c r="D191" s="1" t="str">
        <f ca="1"/>
        <v/>
      </c>
    </row>
    <row r="192" spans="2:4" ht="12.75">
      <c r="B192" s="1" t="e">
        <v>#REF!</v>
      </c>
      <c r="C192" s="3" t="e">
        <v>#REF!</v>
      </c>
      <c r="D192" s="1" t="str">
        <f ca="1"/>
        <v/>
      </c>
    </row>
    <row r="193" spans="2:4" ht="12.75">
      <c r="B193" s="1" t="e">
        <v>#REF!</v>
      </c>
      <c r="C193" s="3" t="e">
        <v>#REF!</v>
      </c>
      <c r="D193" s="1" t="str">
        <f ca="1"/>
        <v/>
      </c>
    </row>
    <row r="194" spans="2:4" ht="12.75">
      <c r="B194" s="1" t="e">
        <v>#REF!</v>
      </c>
      <c r="C194" s="3" t="e">
        <v>#REF!</v>
      </c>
      <c r="D194" s="1" t="str">
        <f ca="1"/>
        <v/>
      </c>
    </row>
    <row r="195" spans="2:4" ht="12.75">
      <c r="B195" s="1" t="e">
        <v>#REF!</v>
      </c>
      <c r="C195" s="3" t="e">
        <v>#REF!</v>
      </c>
      <c r="D195" s="1" t="str">
        <f ca="1"/>
        <v/>
      </c>
    </row>
    <row r="196" spans="2:4" ht="12.75">
      <c r="B196" s="1" t="e">
        <v>#REF!</v>
      </c>
      <c r="C196" s="3" t="e">
        <v>#REF!</v>
      </c>
      <c r="D196" s="1" t="str">
        <f ca="1"/>
        <v/>
      </c>
    </row>
    <row r="197" spans="2:4" ht="12.75">
      <c r="B197" s="1" t="e">
        <v>#REF!</v>
      </c>
      <c r="C197" s="3" t="e">
        <v>#REF!</v>
      </c>
      <c r="D197" s="1" t="str">
        <f ca="1"/>
        <v/>
      </c>
    </row>
    <row r="198" spans="2:4" ht="12.75">
      <c r="B198" s="1" t="e">
        <v>#REF!</v>
      </c>
      <c r="C198" s="3" t="e">
        <v>#REF!</v>
      </c>
      <c r="D198" s="1" t="str">
        <f ca="1"/>
        <v/>
      </c>
    </row>
    <row r="199" spans="2:4" ht="12.75">
      <c r="B199" s="1" t="e">
        <v>#REF!</v>
      </c>
      <c r="C199" s="3" t="e">
        <v>#REF!</v>
      </c>
      <c r="D199" s="1" t="str">
        <f ca="1"/>
        <v/>
      </c>
    </row>
    <row r="200" spans="2:4" ht="12.75">
      <c r="B200" s="1" t="e">
        <v>#REF!</v>
      </c>
      <c r="C200" s="3" t="e">
        <v>#REF!</v>
      </c>
      <c r="D200" s="1" t="str">
        <f ca="1"/>
        <v/>
      </c>
    </row>
    <row r="201" spans="2:4" ht="12.75">
      <c r="B201" s="1" t="e">
        <v>#REF!</v>
      </c>
      <c r="C201" s="3" t="e">
        <v>#REF!</v>
      </c>
      <c r="D201" s="1" t="str">
        <f ca="1"/>
        <v/>
      </c>
    </row>
    <row r="202" spans="2:4" ht="12.75">
      <c r="B202" s="1" t="e">
        <v>#REF!</v>
      </c>
      <c r="C202" s="3" t="e">
        <v>#REF!</v>
      </c>
      <c r="D202" s="1" t="str">
        <f ca="1"/>
        <v/>
      </c>
    </row>
    <row r="203" spans="2:4" ht="12.75">
      <c r="B203" s="1" t="e">
        <v>#REF!</v>
      </c>
      <c r="C203" s="3" t="e">
        <v>#REF!</v>
      </c>
      <c r="D203" s="1" t="str">
        <f ca="1"/>
        <v/>
      </c>
    </row>
    <row r="204" spans="2:4" ht="12.75">
      <c r="B204" s="1" t="e">
        <v>#REF!</v>
      </c>
      <c r="C204" s="3" t="e">
        <v>#REF!</v>
      </c>
      <c r="D204" s="1" t="str">
        <f ca="1"/>
        <v/>
      </c>
    </row>
    <row r="205" spans="2:4" ht="12.75">
      <c r="B205" s="1" t="e">
        <v>#REF!</v>
      </c>
      <c r="C205" s="3" t="e">
        <v>#REF!</v>
      </c>
      <c r="D205" s="1" t="str">
        <f ca="1"/>
        <v/>
      </c>
    </row>
    <row r="206" spans="2:4" ht="12.75">
      <c r="B206" s="1" t="e">
        <v>#REF!</v>
      </c>
      <c r="C206" s="3" t="e">
        <v>#REF!</v>
      </c>
      <c r="D206" s="1" t="str">
        <f ca="1"/>
        <v/>
      </c>
    </row>
    <row r="207" spans="2:4" ht="12.75">
      <c r="B207" s="1" t="e">
        <v>#REF!</v>
      </c>
      <c r="C207" s="3" t="e">
        <v>#REF!</v>
      </c>
      <c r="D207" s="1" t="str">
        <f ca="1"/>
        <v/>
      </c>
    </row>
    <row r="208" spans="2:4" ht="12.75">
      <c r="B208" s="1" t="e">
        <v>#REF!</v>
      </c>
      <c r="C208" s="3" t="e">
        <v>#REF!</v>
      </c>
      <c r="D208" s="1" t="str">
        <f ca="1"/>
        <v/>
      </c>
    </row>
    <row r="209" spans="2:4" ht="12.75">
      <c r="B209" s="1" t="e">
        <v>#REF!</v>
      </c>
      <c r="C209" s="3" t="e">
        <v>#REF!</v>
      </c>
      <c r="D209" s="1" t="str">
        <f ca="1"/>
        <v/>
      </c>
    </row>
    <row r="210" spans="2:4" ht="12.75">
      <c r="B210" s="1" t="e">
        <v>#REF!</v>
      </c>
      <c r="C210" s="3" t="e">
        <v>#REF!</v>
      </c>
      <c r="D210" s="1" t="str">
        <f ca="1"/>
        <v/>
      </c>
    </row>
    <row r="211" spans="2:4" ht="12.75">
      <c r="B211" s="1" t="e">
        <v>#REF!</v>
      </c>
      <c r="C211" s="3" t="e">
        <v>#REF!</v>
      </c>
      <c r="D211" s="1" t="str">
        <f ca="1"/>
        <v/>
      </c>
    </row>
    <row r="212" spans="2:4" ht="12.75">
      <c r="B212" s="1" t="e">
        <v>#REF!</v>
      </c>
      <c r="C212" s="3" t="e">
        <v>#REF!</v>
      </c>
      <c r="D212" s="1" t="str">
        <f ca="1"/>
        <v/>
      </c>
    </row>
    <row r="213" spans="2:4" ht="12.75">
      <c r="B213" s="1" t="e">
        <v>#REF!</v>
      </c>
      <c r="C213" s="3" t="e">
        <v>#REF!</v>
      </c>
      <c r="D213" s="1" t="str">
        <f ca="1"/>
        <v/>
      </c>
    </row>
    <row r="214" spans="2:4" ht="12.75">
      <c r="B214" s="1" t="e">
        <v>#REF!</v>
      </c>
      <c r="C214" s="3" t="e">
        <v>#REF!</v>
      </c>
      <c r="D214" s="1" t="str">
        <f ca="1"/>
        <v/>
      </c>
    </row>
    <row r="215" spans="2:4" ht="12.75">
      <c r="B215" s="1" t="e">
        <v>#REF!</v>
      </c>
      <c r="C215" s="3" t="e">
        <v>#REF!</v>
      </c>
      <c r="D215" s="1" t="str">
        <f ca="1"/>
        <v/>
      </c>
    </row>
    <row r="216" spans="2:4" ht="12.75">
      <c r="B216" s="1" t="e">
        <v>#REF!</v>
      </c>
      <c r="C216" s="3" t="e">
        <v>#REF!</v>
      </c>
      <c r="D216" s="1" t="str">
        <f ca="1"/>
        <v/>
      </c>
    </row>
    <row r="217" spans="2:4" ht="12.75">
      <c r="B217" s="1" t="e">
        <v>#REF!</v>
      </c>
      <c r="C217" s="3" t="e">
        <v>#REF!</v>
      </c>
      <c r="D217" s="1" t="str">
        <f ca="1"/>
        <v/>
      </c>
    </row>
    <row r="218" spans="2:4" ht="12.75">
      <c r="B218" s="1" t="e">
        <v>#REF!</v>
      </c>
      <c r="C218" s="3" t="e">
        <v>#REF!</v>
      </c>
      <c r="D218" s="1" t="str">
        <f ca="1"/>
        <v/>
      </c>
    </row>
    <row r="219" spans="2:4" ht="12.75">
      <c r="B219" s="1" t="e">
        <v>#REF!</v>
      </c>
      <c r="C219" s="3" t="e">
        <v>#REF!</v>
      </c>
      <c r="D219" s="1" t="str">
        <f ca="1"/>
        <v/>
      </c>
    </row>
    <row r="220" spans="2:4" ht="12.75">
      <c r="B220" s="1" t="e">
        <v>#REF!</v>
      </c>
      <c r="C220" s="3" t="e">
        <v>#REF!</v>
      </c>
      <c r="D220" s="1" t="str">
        <f ca="1"/>
        <v/>
      </c>
    </row>
    <row r="221" spans="2:4" ht="12.75">
      <c r="B221" s="1" t="e">
        <v>#REF!</v>
      </c>
      <c r="C221" s="3" t="e">
        <v>#REF!</v>
      </c>
      <c r="D221" s="1" t="str">
        <f ca="1"/>
        <v/>
      </c>
    </row>
    <row r="222" spans="2:4" ht="12.75">
      <c r="B222" s="1" t="e">
        <v>#REF!</v>
      </c>
      <c r="C222" s="3" t="e">
        <v>#REF!</v>
      </c>
      <c r="D222" s="1" t="str">
        <f ca="1"/>
        <v/>
      </c>
    </row>
    <row r="223" spans="2:4" ht="12.75">
      <c r="B223" s="1" t="e">
        <v>#REF!</v>
      </c>
      <c r="C223" s="3" t="e">
        <v>#REF!</v>
      </c>
      <c r="D223" s="1" t="str">
        <f ca="1"/>
        <v/>
      </c>
    </row>
    <row r="224" spans="2:4" ht="12.75">
      <c r="B224" s="1" t="e">
        <v>#REF!</v>
      </c>
      <c r="C224" s="3" t="e">
        <v>#REF!</v>
      </c>
      <c r="D224" s="1" t="str">
        <f ca="1"/>
        <v/>
      </c>
    </row>
    <row r="225" spans="2:4" ht="12.75">
      <c r="B225" s="1" t="e">
        <v>#REF!</v>
      </c>
      <c r="C225" s="3" t="e">
        <v>#REF!</v>
      </c>
      <c r="D225" s="1" t="str">
        <f ca="1"/>
        <v/>
      </c>
    </row>
    <row r="226" spans="2:4" ht="12.75">
      <c r="B226" s="1" t="e">
        <v>#REF!</v>
      </c>
      <c r="C226" s="3" t="e">
        <v>#REF!</v>
      </c>
      <c r="D226" s="1" t="str">
        <f ca="1"/>
        <v/>
      </c>
    </row>
    <row r="227" spans="2:4" ht="12.75">
      <c r="B227" s="1" t="e">
        <v>#REF!</v>
      </c>
      <c r="C227" s="3" t="e">
        <v>#REF!</v>
      </c>
      <c r="D227" s="1" t="str">
        <f ca="1"/>
        <v/>
      </c>
    </row>
    <row r="228" spans="2:4" ht="12.75">
      <c r="B228" s="1" t="e">
        <v>#REF!</v>
      </c>
      <c r="C228" s="3" t="e">
        <v>#REF!</v>
      </c>
      <c r="D228" s="1" t="str">
        <f ca="1"/>
        <v/>
      </c>
    </row>
    <row r="229" spans="2:4" ht="12.75">
      <c r="B229" s="1" t="e">
        <v>#REF!</v>
      </c>
      <c r="C229" s="3" t="e">
        <v>#REF!</v>
      </c>
      <c r="D229" s="1" t="str">
        <f ca="1"/>
        <v/>
      </c>
    </row>
    <row r="230" spans="2:4" ht="12.75">
      <c r="B230" s="1" t="e">
        <v>#REF!</v>
      </c>
      <c r="C230" s="3" t="e">
        <v>#REF!</v>
      </c>
      <c r="D230" s="1" t="str">
        <f ca="1"/>
        <v/>
      </c>
    </row>
    <row r="231" spans="2:4" ht="12.75">
      <c r="B231" s="1" t="e">
        <v>#REF!</v>
      </c>
      <c r="C231" s="3" t="e">
        <v>#REF!</v>
      </c>
      <c r="D231" s="1" t="str">
        <f ca="1"/>
        <v/>
      </c>
    </row>
    <row r="232" spans="2:4" ht="12.75">
      <c r="B232" s="1" t="e">
        <v>#REF!</v>
      </c>
      <c r="C232" s="3" t="e">
        <v>#REF!</v>
      </c>
      <c r="D232" s="1" t="str">
        <f ca="1"/>
        <v/>
      </c>
    </row>
    <row r="233" spans="2:4" ht="12.75">
      <c r="B233" s="1" t="e">
        <v>#REF!</v>
      </c>
      <c r="C233" s="3" t="e">
        <v>#REF!</v>
      </c>
      <c r="D233" s="1" t="str">
        <f ca="1"/>
        <v/>
      </c>
    </row>
    <row r="234" spans="2:4" ht="12.75">
      <c r="B234" s="1" t="e">
        <v>#REF!</v>
      </c>
      <c r="C234" s="3" t="e">
        <v>#REF!</v>
      </c>
      <c r="D234" s="1" t="str">
        <f ca="1"/>
        <v/>
      </c>
    </row>
    <row r="235" spans="2:4" ht="12.75">
      <c r="B235" s="1" t="e">
        <v>#REF!</v>
      </c>
      <c r="C235" s="3" t="e">
        <v>#REF!</v>
      </c>
      <c r="D235" s="1" t="str">
        <f ca="1"/>
        <v/>
      </c>
    </row>
    <row r="236" spans="2:4" ht="12.75">
      <c r="B236" s="1" t="e">
        <v>#REF!</v>
      </c>
      <c r="C236" s="3" t="e">
        <v>#REF!</v>
      </c>
      <c r="D236" s="1" t="str">
        <f ca="1"/>
        <v/>
      </c>
    </row>
    <row r="237" spans="2:4" ht="12.75">
      <c r="B237" s="1" t="e">
        <v>#REF!</v>
      </c>
      <c r="C237" s="3" t="e">
        <v>#REF!</v>
      </c>
      <c r="D237" s="1" t="str">
        <f ca="1"/>
        <v/>
      </c>
    </row>
    <row r="238" spans="2:4" ht="12.75">
      <c r="B238" s="1" t="e">
        <v>#REF!</v>
      </c>
      <c r="C238" s="3" t="e">
        <v>#REF!</v>
      </c>
      <c r="D238" s="1" t="str">
        <f ca="1"/>
        <v/>
      </c>
    </row>
    <row r="239" spans="2:4" ht="12.75">
      <c r="B239" s="1" t="e">
        <v>#REF!</v>
      </c>
      <c r="C239" s="3" t="e">
        <v>#REF!</v>
      </c>
      <c r="D239" s="1" t="str">
        <f ca="1"/>
        <v/>
      </c>
    </row>
    <row r="240" spans="2:4" ht="12.75">
      <c r="B240" s="1" t="e">
        <v>#REF!</v>
      </c>
      <c r="C240" s="3" t="e">
        <v>#REF!</v>
      </c>
      <c r="D240" s="1" t="str">
        <f ca="1"/>
        <v/>
      </c>
    </row>
    <row r="241" spans="2:4" ht="12.75">
      <c r="B241" s="1" t="e">
        <v>#REF!</v>
      </c>
      <c r="C241" s="3" t="e">
        <v>#REF!</v>
      </c>
      <c r="D241" s="1" t="str">
        <f ca="1"/>
        <v/>
      </c>
    </row>
    <row r="242" spans="2:4" ht="12.75">
      <c r="B242" s="1" t="e">
        <v>#REF!</v>
      </c>
      <c r="C242" s="3" t="e">
        <v>#REF!</v>
      </c>
      <c r="D242" s="1" t="str">
        <f ca="1"/>
        <v/>
      </c>
    </row>
    <row r="243" spans="2:4" ht="12.75">
      <c r="B243" s="1" t="e">
        <v>#REF!</v>
      </c>
      <c r="C243" s="3" t="e">
        <v>#REF!</v>
      </c>
      <c r="D243" s="1" t="str">
        <f ca="1"/>
        <v/>
      </c>
    </row>
    <row r="244" spans="2:4" ht="12.75">
      <c r="B244" s="1" t="e">
        <v>#REF!</v>
      </c>
      <c r="C244" s="3" t="e">
        <v>#REF!</v>
      </c>
      <c r="D244" s="1" t="str">
        <f ca="1"/>
        <v/>
      </c>
    </row>
    <row r="245" spans="2:4" ht="12.75">
      <c r="B245" s="1" t="e">
        <v>#REF!</v>
      </c>
      <c r="C245" s="3" t="e">
        <v>#REF!</v>
      </c>
      <c r="D245" s="1" t="str">
        <f ca="1"/>
        <v/>
      </c>
    </row>
    <row r="246" spans="2:4" ht="12.75">
      <c r="B246" s="1" t="e">
        <v>#REF!</v>
      </c>
      <c r="C246" s="3" t="e">
        <v>#REF!</v>
      </c>
      <c r="D246" s="1" t="str">
        <f ca="1"/>
        <v/>
      </c>
    </row>
    <row r="247" spans="2:4" ht="12.75">
      <c r="B247" s="1" t="e">
        <v>#REF!</v>
      </c>
      <c r="C247" s="3" t="e">
        <v>#REF!</v>
      </c>
      <c r="D247" s="1" t="str">
        <f ca="1"/>
        <v/>
      </c>
    </row>
    <row r="248" spans="2:4" ht="12.75">
      <c r="B248" s="1" t="e">
        <v>#REF!</v>
      </c>
      <c r="C248" s="3" t="e">
        <v>#REF!</v>
      </c>
      <c r="D248" s="1" t="str">
        <f ca="1"/>
        <v/>
      </c>
    </row>
    <row r="249" spans="2:4" ht="12.75">
      <c r="B249" s="1" t="e">
        <v>#REF!</v>
      </c>
      <c r="C249" s="3" t="e">
        <v>#REF!</v>
      </c>
      <c r="D249" s="1" t="str">
        <f ca="1"/>
        <v/>
      </c>
    </row>
    <row r="250" spans="2:4" ht="12.75">
      <c r="B250" s="1" t="e">
        <v>#REF!</v>
      </c>
      <c r="C250" s="3" t="e">
        <v>#REF!</v>
      </c>
      <c r="D250" s="1" t="str">
        <f ca="1"/>
        <v/>
      </c>
    </row>
    <row r="251" spans="2:4" ht="12.75">
      <c r="B251" s="1" t="e">
        <v>#REF!</v>
      </c>
      <c r="C251" s="3" t="e">
        <v>#REF!</v>
      </c>
      <c r="D251" s="1" t="str">
        <f ca="1"/>
        <v/>
      </c>
    </row>
    <row r="252" spans="2:4" ht="12.75">
      <c r="B252" s="1" t="e">
        <v>#REF!</v>
      </c>
      <c r="C252" s="3" t="e">
        <v>#REF!</v>
      </c>
      <c r="D252" s="1" t="str">
        <f ca="1"/>
        <v/>
      </c>
    </row>
    <row r="253" spans="2:4" ht="12.75">
      <c r="B253" s="1" t="e">
        <v>#REF!</v>
      </c>
      <c r="C253" s="3" t="e">
        <v>#REF!</v>
      </c>
      <c r="D253" s="1" t="str">
        <f ca="1"/>
        <v/>
      </c>
    </row>
    <row r="254" spans="2:4" ht="12.75">
      <c r="B254" s="1" t="e">
        <v>#REF!</v>
      </c>
      <c r="C254" s="3" t="e">
        <v>#REF!</v>
      </c>
      <c r="D254" s="1" t="str">
        <f ca="1"/>
        <v/>
      </c>
    </row>
    <row r="255" spans="2:4" ht="12.75">
      <c r="B255" s="1" t="e">
        <v>#REF!</v>
      </c>
      <c r="C255" s="3" t="e">
        <v>#REF!</v>
      </c>
      <c r="D255" s="1" t="str">
        <f ca="1"/>
        <v/>
      </c>
    </row>
    <row r="256" spans="2:4" ht="12.75">
      <c r="B256" s="1" t="e">
        <v>#REF!</v>
      </c>
      <c r="C256" s="3" t="e">
        <v>#REF!</v>
      </c>
      <c r="D256" s="1" t="str">
        <f ca="1"/>
        <v/>
      </c>
    </row>
    <row r="257" spans="2:4" ht="12.75">
      <c r="B257" s="1" t="e">
        <v>#REF!</v>
      </c>
      <c r="C257" s="3" t="e">
        <v>#REF!</v>
      </c>
      <c r="D257" s="1" t="str">
        <f ca="1"/>
        <v/>
      </c>
    </row>
    <row r="258" spans="2:4" ht="12.75">
      <c r="B258" s="1" t="e">
        <v>#REF!</v>
      </c>
      <c r="C258" s="3" t="e">
        <v>#REF!</v>
      </c>
      <c r="D258" s="1" t="str">
        <f ca="1"/>
        <v/>
      </c>
    </row>
    <row r="259" spans="2:4" ht="12.75">
      <c r="B259" s="1" t="e">
        <v>#REF!</v>
      </c>
      <c r="C259" s="3" t="e">
        <v>#REF!</v>
      </c>
      <c r="D259" s="1" t="str">
        <f ca="1"/>
        <v/>
      </c>
    </row>
    <row r="260" spans="2:4" ht="12.75">
      <c r="B260" s="1" t="e">
        <v>#REF!</v>
      </c>
      <c r="C260" s="3" t="e">
        <v>#REF!</v>
      </c>
      <c r="D260" s="1" t="str">
        <f ca="1"/>
        <v/>
      </c>
    </row>
    <row r="261" spans="2:4" ht="12.75">
      <c r="B261" s="1" t="e">
        <v>#REF!</v>
      </c>
      <c r="C261" s="3" t="e">
        <v>#REF!</v>
      </c>
      <c r="D261" s="1" t="str">
        <f ca="1"/>
        <v/>
      </c>
    </row>
    <row r="262" spans="2:4" ht="12.75">
      <c r="B262" s="1" t="e">
        <v>#REF!</v>
      </c>
      <c r="C262" s="3" t="e">
        <v>#REF!</v>
      </c>
      <c r="D262" s="1" t="str">
        <f ca="1"/>
        <v/>
      </c>
    </row>
    <row r="263" spans="2:4" ht="12.75">
      <c r="B263" s="1" t="e">
        <v>#REF!</v>
      </c>
      <c r="C263" s="3" t="e">
        <v>#REF!</v>
      </c>
      <c r="D263" s="1" t="str">
        <f ca="1"/>
        <v/>
      </c>
    </row>
    <row r="264" spans="2:4" ht="12.75">
      <c r="B264" s="1" t="e">
        <v>#REF!</v>
      </c>
      <c r="C264" s="3" t="e">
        <v>#REF!</v>
      </c>
      <c r="D264" s="1" t="str">
        <f ca="1"/>
        <v/>
      </c>
    </row>
    <row r="265" spans="2:4" ht="12.75">
      <c r="B265" s="1" t="e">
        <v>#REF!</v>
      </c>
      <c r="C265" s="3" t="e">
        <v>#REF!</v>
      </c>
      <c r="D265" s="1" t="str">
        <f ca="1"/>
        <v/>
      </c>
    </row>
    <row r="266" spans="2:4" ht="12.75">
      <c r="B266" s="1" t="e">
        <v>#REF!</v>
      </c>
      <c r="C266" s="3" t="e">
        <v>#REF!</v>
      </c>
      <c r="D266" s="1" t="str">
        <f ca="1"/>
        <v/>
      </c>
    </row>
    <row r="267" spans="2:4" ht="12.75">
      <c r="B267" s="1" t="e">
        <v>#REF!</v>
      </c>
      <c r="C267" s="3" t="e">
        <v>#REF!</v>
      </c>
      <c r="D267" s="1" t="str">
        <f ca="1"/>
        <v/>
      </c>
    </row>
    <row r="268" spans="2:4" ht="12.75">
      <c r="B268" s="1" t="e">
        <v>#REF!</v>
      </c>
      <c r="C268" s="3" t="e">
        <v>#REF!</v>
      </c>
      <c r="D268" s="1" t="str">
        <f ca="1"/>
        <v/>
      </c>
    </row>
    <row r="269" spans="2:4" ht="12.75">
      <c r="B269" s="1" t="e">
        <v>#REF!</v>
      </c>
      <c r="C269" s="3" t="e">
        <v>#REF!</v>
      </c>
      <c r="D269" s="1" t="str">
        <f ca="1"/>
        <v/>
      </c>
    </row>
    <row r="270" spans="2:4" ht="12.75">
      <c r="B270" s="1" t="e">
        <v>#REF!</v>
      </c>
      <c r="C270" s="3" t="e">
        <v>#REF!</v>
      </c>
      <c r="D270" s="1" t="str">
        <f ca="1"/>
        <v/>
      </c>
    </row>
    <row r="271" spans="2:4" ht="12.75">
      <c r="B271" s="1" t="e">
        <v>#REF!</v>
      </c>
      <c r="C271" s="3" t="e">
        <v>#REF!</v>
      </c>
      <c r="D271" s="1" t="str">
        <f ca="1"/>
        <v/>
      </c>
    </row>
    <row r="272" spans="2:4" ht="12.75">
      <c r="B272" s="1" t="e">
        <v>#REF!</v>
      </c>
      <c r="C272" s="3" t="e">
        <v>#REF!</v>
      </c>
      <c r="D272" s="1" t="str">
        <f ca="1"/>
        <v/>
      </c>
    </row>
    <row r="273" spans="2:4" ht="12.75">
      <c r="B273" s="1" t="e">
        <v>#REF!</v>
      </c>
      <c r="C273" s="3" t="e">
        <v>#REF!</v>
      </c>
      <c r="D273" s="1" t="str">
        <f ca="1"/>
        <v/>
      </c>
    </row>
    <row r="274" spans="2:4" ht="12.75">
      <c r="B274" s="1" t="e">
        <v>#REF!</v>
      </c>
      <c r="C274" s="3" t="e">
        <v>#REF!</v>
      </c>
      <c r="D274" s="1" t="str">
        <f ca="1"/>
        <v/>
      </c>
    </row>
    <row r="275" spans="2:4" ht="12.75">
      <c r="B275" s="1" t="e">
        <v>#REF!</v>
      </c>
      <c r="C275" s="3" t="e">
        <v>#REF!</v>
      </c>
      <c r="D275" s="1" t="str">
        <f ca="1"/>
        <v/>
      </c>
    </row>
    <row r="276" spans="2:4" ht="12.75">
      <c r="B276" s="1" t="e">
        <v>#REF!</v>
      </c>
      <c r="C276" s="3" t="e">
        <v>#REF!</v>
      </c>
      <c r="D276" s="1" t="str">
        <f ca="1"/>
        <v/>
      </c>
    </row>
    <row r="277" spans="2:4" ht="12.75">
      <c r="B277" s="1" t="e">
        <v>#REF!</v>
      </c>
      <c r="C277" s="3" t="e">
        <v>#REF!</v>
      </c>
      <c r="D277" s="1" t="str">
        <f ca="1"/>
        <v/>
      </c>
    </row>
    <row r="278" spans="2:4" ht="12.75">
      <c r="B278" s="1" t="e">
        <v>#REF!</v>
      </c>
      <c r="C278" s="3" t="e">
        <v>#REF!</v>
      </c>
      <c r="D278" s="1" t="str">
        <f ca="1"/>
        <v/>
      </c>
    </row>
    <row r="279" spans="2:4" ht="12.75">
      <c r="B279" s="1" t="e">
        <v>#REF!</v>
      </c>
      <c r="C279" s="3" t="e">
        <v>#REF!</v>
      </c>
      <c r="D279" s="1" t="str">
        <f ca="1"/>
        <v/>
      </c>
    </row>
    <row r="280" spans="2:4" ht="12.75">
      <c r="B280" s="1" t="e">
        <v>#REF!</v>
      </c>
      <c r="C280" s="3" t="e">
        <v>#REF!</v>
      </c>
      <c r="D280" s="1" t="str">
        <f ca="1"/>
        <v/>
      </c>
    </row>
    <row r="281" spans="2:4" ht="12.75">
      <c r="B281" s="1" t="e">
        <v>#REF!</v>
      </c>
      <c r="C281" s="3" t="e">
        <v>#REF!</v>
      </c>
      <c r="D281" s="1" t="str">
        <f ca="1"/>
        <v/>
      </c>
    </row>
    <row r="282" spans="2:4" ht="12.75">
      <c r="B282" s="1" t="e">
        <v>#REF!</v>
      </c>
      <c r="C282" s="3" t="e">
        <v>#REF!</v>
      </c>
      <c r="D282" s="1" t="str">
        <f ca="1"/>
        <v/>
      </c>
    </row>
    <row r="283" spans="2:4" ht="12.75">
      <c r="B283" s="1" t="e">
        <v>#REF!</v>
      </c>
      <c r="C283" s="3" t="e">
        <v>#REF!</v>
      </c>
      <c r="D283" s="1" t="str">
        <f ca="1"/>
        <v/>
      </c>
    </row>
    <row r="284" spans="2:4" ht="12.75">
      <c r="B284" s="1" t="e">
        <v>#REF!</v>
      </c>
      <c r="C284" s="3" t="e">
        <v>#REF!</v>
      </c>
      <c r="D284" s="1" t="str">
        <f ca="1"/>
        <v/>
      </c>
    </row>
    <row r="285" spans="2:4" ht="12.75">
      <c r="B285" s="1" t="e">
        <v>#REF!</v>
      </c>
      <c r="C285" s="3" t="e">
        <v>#REF!</v>
      </c>
      <c r="D285" s="1" t="str">
        <f ca="1"/>
        <v/>
      </c>
    </row>
    <row r="286" spans="2:4" ht="12.75">
      <c r="B286" s="1" t="e">
        <v>#REF!</v>
      </c>
      <c r="C286" s="3" t="e">
        <v>#REF!</v>
      </c>
      <c r="D286" s="1" t="str">
        <f ca="1"/>
        <v/>
      </c>
    </row>
    <row r="287" spans="2:4" ht="12.75">
      <c r="B287" s="1" t="e">
        <v>#REF!</v>
      </c>
      <c r="C287" s="3" t="e">
        <v>#REF!</v>
      </c>
      <c r="D287" s="1" t="str">
        <f ca="1"/>
        <v/>
      </c>
    </row>
    <row r="288" spans="2:4" ht="12.75">
      <c r="B288" s="1" t="e">
        <v>#REF!</v>
      </c>
      <c r="C288" s="3" t="e">
        <v>#REF!</v>
      </c>
      <c r="D288" s="1" t="str">
        <f ca="1"/>
        <v/>
      </c>
    </row>
    <row r="289" spans="2:4" ht="12.75">
      <c r="B289" s="1" t="e">
        <v>#REF!</v>
      </c>
      <c r="C289" s="3" t="e">
        <v>#REF!</v>
      </c>
      <c r="D289" s="1" t="str">
        <f ca="1"/>
        <v/>
      </c>
    </row>
    <row r="290" spans="2:4" ht="12.75">
      <c r="B290" s="1" t="e">
        <v>#REF!</v>
      </c>
      <c r="C290" s="3" t="e">
        <v>#REF!</v>
      </c>
      <c r="D290" s="1" t="str">
        <f ca="1"/>
        <v/>
      </c>
    </row>
    <row r="291" spans="2:4" ht="12.75">
      <c r="B291" s="1" t="e">
        <v>#REF!</v>
      </c>
      <c r="C291" s="3" t="e">
        <v>#REF!</v>
      </c>
      <c r="D291" s="1" t="str">
        <f ca="1"/>
        <v/>
      </c>
    </row>
    <row r="292" spans="2:4" ht="12.75">
      <c r="B292" s="1" t="e">
        <v>#REF!</v>
      </c>
      <c r="C292" s="3" t="e">
        <v>#REF!</v>
      </c>
      <c r="D292" s="1" t="str">
        <f ca="1"/>
        <v/>
      </c>
    </row>
    <row r="293" spans="2:4" ht="12.75">
      <c r="B293" s="1" t="e">
        <v>#REF!</v>
      </c>
      <c r="C293" s="3" t="e">
        <v>#REF!</v>
      </c>
      <c r="D293" s="1" t="str">
        <f ca="1"/>
        <v/>
      </c>
    </row>
    <row r="294" spans="2:4" ht="12.75">
      <c r="B294" s="1" t="e">
        <v>#REF!</v>
      </c>
      <c r="C294" s="3" t="e">
        <v>#REF!</v>
      </c>
      <c r="D294" s="1" t="str">
        <f ca="1"/>
        <v/>
      </c>
    </row>
    <row r="295" spans="2:4" ht="12.75">
      <c r="B295" s="1" t="e">
        <v>#REF!</v>
      </c>
      <c r="C295" s="3" t="e">
        <v>#REF!</v>
      </c>
      <c r="D295" s="1" t="str">
        <f ca="1"/>
        <v/>
      </c>
    </row>
    <row r="296" spans="2:4" ht="12.75">
      <c r="B296" s="1" t="e">
        <v>#REF!</v>
      </c>
      <c r="C296" s="3" t="e">
        <v>#REF!</v>
      </c>
      <c r="D296" s="1" t="str">
        <f ca="1"/>
        <v/>
      </c>
    </row>
    <row r="297" spans="2:4" ht="12.75">
      <c r="B297" s="1" t="e">
        <v>#REF!</v>
      </c>
      <c r="C297" s="3" t="e">
        <v>#REF!</v>
      </c>
      <c r="D297" s="1" t="str">
        <f ca="1"/>
        <v/>
      </c>
    </row>
    <row r="298" spans="2:4" ht="12.75">
      <c r="B298" s="1" t="e">
        <v>#REF!</v>
      </c>
      <c r="C298" s="3" t="e">
        <v>#REF!</v>
      </c>
      <c r="D298" s="1" t="str">
        <f ca="1"/>
        <v/>
      </c>
    </row>
    <row r="299" spans="2:4" ht="12.75">
      <c r="B299" s="1" t="e">
        <v>#REF!</v>
      </c>
      <c r="C299" s="3" t="e">
        <v>#REF!</v>
      </c>
      <c r="D299" s="1" t="str">
        <f ca="1"/>
        <v/>
      </c>
    </row>
    <row r="300" spans="2:4" ht="12.75">
      <c r="B300" s="1" t="e">
        <v>#REF!</v>
      </c>
      <c r="C300" s="3" t="e">
        <v>#REF!</v>
      </c>
      <c r="D300" s="1" t="str">
        <f ca="1"/>
        <v/>
      </c>
    </row>
    <row r="301" spans="2:4" ht="12.75">
      <c r="B301" s="1" t="e">
        <v>#REF!</v>
      </c>
      <c r="C301" s="3" t="e">
        <v>#REF!</v>
      </c>
      <c r="D301" s="1" t="str">
        <f ca="1"/>
        <v/>
      </c>
    </row>
    <row r="302" spans="2:4" ht="12.75">
      <c r="B302" s="1" t="e">
        <v>#REF!</v>
      </c>
      <c r="C302" s="3" t="e">
        <v>#REF!</v>
      </c>
      <c r="D302" s="1" t="str">
        <f ca="1"/>
        <v/>
      </c>
    </row>
    <row r="303" spans="2:4" ht="12.75">
      <c r="B303" s="1" t="e">
        <v>#REF!</v>
      </c>
      <c r="C303" s="3" t="e">
        <v>#REF!</v>
      </c>
      <c r="D303" s="1" t="str">
        <f ca="1"/>
        <v/>
      </c>
    </row>
    <row r="304" spans="2:4" ht="12.75">
      <c r="B304" s="1" t="e">
        <v>#REF!</v>
      </c>
      <c r="C304" s="3" t="e">
        <v>#REF!</v>
      </c>
      <c r="D304" s="1" t="str">
        <f ca="1"/>
        <v/>
      </c>
    </row>
    <row r="305" spans="2:4" ht="12.75">
      <c r="B305" s="1" t="e">
        <v>#REF!</v>
      </c>
      <c r="C305" s="3" t="e">
        <v>#REF!</v>
      </c>
      <c r="D305" s="1" t="str">
        <f ca="1"/>
        <v/>
      </c>
    </row>
    <row r="306" spans="2:4" ht="12.75">
      <c r="B306" s="1" t="e">
        <v>#REF!</v>
      </c>
      <c r="C306" s="3" t="e">
        <v>#REF!</v>
      </c>
      <c r="D306" s="1" t="str">
        <f ca="1"/>
        <v/>
      </c>
    </row>
    <row r="307" spans="2:4" ht="12.75">
      <c r="B307" s="1" t="e">
        <v>#REF!</v>
      </c>
      <c r="C307" s="3" t="e">
        <v>#REF!</v>
      </c>
      <c r="D307" s="1" t="str">
        <f ca="1"/>
        <v/>
      </c>
    </row>
    <row r="308" spans="2:4" ht="12.75">
      <c r="B308" s="1" t="e">
        <v>#REF!</v>
      </c>
      <c r="C308" s="3" t="e">
        <v>#REF!</v>
      </c>
      <c r="D308" s="1" t="str">
        <f ca="1"/>
        <v/>
      </c>
    </row>
    <row r="309" spans="2:4" ht="12.75">
      <c r="B309" s="1" t="e">
        <v>#REF!</v>
      </c>
      <c r="C309" s="3" t="e">
        <v>#REF!</v>
      </c>
      <c r="D309" s="1" t="str">
        <f ca="1"/>
        <v/>
      </c>
    </row>
    <row r="310" spans="2:4" ht="12.75">
      <c r="B310" s="1" t="e">
        <v>#REF!</v>
      </c>
      <c r="C310" s="3" t="e">
        <v>#REF!</v>
      </c>
      <c r="D310" s="1" t="str">
        <f ca="1"/>
        <v/>
      </c>
    </row>
    <row r="311" spans="2:4" ht="12.75">
      <c r="B311" s="1" t="e">
        <v>#REF!</v>
      </c>
      <c r="C311" s="3" t="e">
        <v>#REF!</v>
      </c>
      <c r="D311" s="1" t="str">
        <f ca="1"/>
        <v/>
      </c>
    </row>
    <row r="312" spans="2:4" ht="12.75">
      <c r="B312" s="1" t="e">
        <v>#REF!</v>
      </c>
      <c r="C312" s="3" t="e">
        <v>#REF!</v>
      </c>
      <c r="D312" s="1" t="str">
        <f ca="1"/>
        <v/>
      </c>
    </row>
    <row r="313" spans="2:4" ht="12.75">
      <c r="B313" s="1" t="e">
        <v>#REF!</v>
      </c>
      <c r="C313" s="3" t="e">
        <v>#REF!</v>
      </c>
      <c r="D313" s="1" t="str">
        <f ca="1"/>
        <v/>
      </c>
    </row>
    <row r="314" spans="2:4" ht="12.75">
      <c r="B314" s="1" t="e">
        <v>#REF!</v>
      </c>
      <c r="C314" s="3" t="e">
        <v>#REF!</v>
      </c>
      <c r="D314" s="1" t="str">
        <f ca="1"/>
        <v/>
      </c>
    </row>
    <row r="315" spans="2:4" ht="12.75">
      <c r="B315" s="1" t="e">
        <v>#REF!</v>
      </c>
      <c r="C315" s="3" t="e">
        <v>#REF!</v>
      </c>
      <c r="D315" s="1" t="str">
        <f ca="1"/>
        <v/>
      </c>
    </row>
    <row r="316" spans="2:4" ht="12.75">
      <c r="B316" s="1" t="e">
        <v>#REF!</v>
      </c>
      <c r="C316" s="3" t="e">
        <v>#REF!</v>
      </c>
      <c r="D316" s="1" t="str">
        <f ca="1"/>
        <v/>
      </c>
    </row>
    <row r="317" spans="2:4" ht="12.75">
      <c r="B317" s="1" t="e">
        <v>#REF!</v>
      </c>
      <c r="C317" s="3" t="e">
        <v>#REF!</v>
      </c>
      <c r="D317" s="1" t="str">
        <f ca="1"/>
        <v/>
      </c>
    </row>
    <row r="318" spans="2:4" ht="12.75">
      <c r="B318" s="1" t="e">
        <v>#REF!</v>
      </c>
      <c r="C318" s="3" t="e">
        <v>#REF!</v>
      </c>
      <c r="D318" s="1" t="str">
        <f ca="1"/>
        <v/>
      </c>
    </row>
    <row r="319" spans="2:4" ht="12.75">
      <c r="B319" s="1" t="e">
        <v>#REF!</v>
      </c>
      <c r="C319" s="3" t="e">
        <v>#REF!</v>
      </c>
      <c r="D319" s="1" t="str">
        <f ca="1"/>
        <v/>
      </c>
    </row>
    <row r="320" spans="2:4" ht="12.75">
      <c r="B320" s="1" t="e">
        <v>#REF!</v>
      </c>
      <c r="C320" s="3" t="e">
        <v>#REF!</v>
      </c>
      <c r="D320" s="1" t="str">
        <f ca="1"/>
        <v/>
      </c>
    </row>
    <row r="321" spans="2:4" ht="12.75">
      <c r="B321" s="1" t="e">
        <v>#REF!</v>
      </c>
      <c r="C321" s="3" t="e">
        <v>#REF!</v>
      </c>
      <c r="D321" s="1" t="str">
        <f ca="1"/>
        <v/>
      </c>
    </row>
    <row r="322" spans="2:4" ht="12.75">
      <c r="B322" s="1" t="e">
        <v>#REF!</v>
      </c>
      <c r="C322" s="3" t="e">
        <v>#REF!</v>
      </c>
      <c r="D322" s="1" t="str">
        <f ca="1"/>
        <v/>
      </c>
    </row>
    <row r="323" spans="2:4" ht="12.75">
      <c r="B323" s="1" t="e">
        <v>#REF!</v>
      </c>
      <c r="C323" s="3" t="e">
        <v>#REF!</v>
      </c>
      <c r="D323" s="1" t="str">
        <f ca="1"/>
        <v/>
      </c>
    </row>
    <row r="324" spans="2:4" ht="12.75">
      <c r="B324" s="1" t="e">
        <v>#REF!</v>
      </c>
      <c r="C324" s="3" t="e">
        <v>#REF!</v>
      </c>
      <c r="D324" s="1" t="str">
        <f ca="1"/>
        <v/>
      </c>
    </row>
    <row r="325" spans="2:4" ht="12.75">
      <c r="B325" s="1" t="e">
        <v>#REF!</v>
      </c>
      <c r="C325" s="3" t="e">
        <v>#REF!</v>
      </c>
      <c r="D325" s="1" t="str">
        <f ca="1"/>
        <v/>
      </c>
    </row>
    <row r="326" spans="2:4" ht="12.75">
      <c r="B326" s="1" t="e">
        <v>#REF!</v>
      </c>
      <c r="C326" s="3" t="e">
        <v>#REF!</v>
      </c>
      <c r="D326" s="1" t="str">
        <f ca="1"/>
        <v/>
      </c>
    </row>
    <row r="327" spans="2:4" ht="12.75">
      <c r="B327" s="1" t="e">
        <v>#REF!</v>
      </c>
      <c r="C327" s="3" t="e">
        <v>#REF!</v>
      </c>
      <c r="D327" s="1" t="str">
        <f ca="1"/>
        <v/>
      </c>
    </row>
    <row r="328" spans="2:4" ht="12.75">
      <c r="B328" s="1" t="e">
        <v>#REF!</v>
      </c>
      <c r="C328" s="3" t="e">
        <v>#REF!</v>
      </c>
      <c r="D328" s="1" t="str">
        <f ca="1"/>
        <v/>
      </c>
    </row>
    <row r="329" spans="2:4" ht="12.75">
      <c r="B329" s="1" t="e">
        <v>#REF!</v>
      </c>
      <c r="C329" s="3" t="e">
        <v>#REF!</v>
      </c>
      <c r="D329" s="1" t="str">
        <f ca="1"/>
        <v/>
      </c>
    </row>
    <row r="330" spans="2:4" ht="12.75">
      <c r="B330" s="1" t="e">
        <v>#REF!</v>
      </c>
      <c r="C330" s="3" t="e">
        <v>#REF!</v>
      </c>
      <c r="D330" s="1" t="str">
        <f ca="1"/>
        <v/>
      </c>
    </row>
    <row r="331" spans="2:4" ht="12.75">
      <c r="B331" s="1" t="e">
        <v>#REF!</v>
      </c>
      <c r="C331" s="3" t="e">
        <v>#REF!</v>
      </c>
      <c r="D331" s="1" t="str">
        <f ca="1"/>
        <v/>
      </c>
    </row>
    <row r="332" spans="2:4" ht="12.75">
      <c r="B332" s="1" t="e">
        <v>#REF!</v>
      </c>
      <c r="C332" s="3" t="e">
        <v>#REF!</v>
      </c>
      <c r="D332" s="1" t="str">
        <f ca="1"/>
        <v/>
      </c>
    </row>
    <row r="333" spans="2:4" ht="12.75">
      <c r="B333" s="1" t="e">
        <v>#REF!</v>
      </c>
      <c r="C333" s="3" t="e">
        <v>#REF!</v>
      </c>
      <c r="D333" s="1" t="str">
        <f ca="1"/>
        <v/>
      </c>
    </row>
    <row r="334" spans="2:4" ht="12.75">
      <c r="B334" s="1" t="e">
        <v>#REF!</v>
      </c>
      <c r="C334" s="3" t="e">
        <v>#REF!</v>
      </c>
      <c r="D334" s="1" t="str">
        <f ca="1"/>
        <v/>
      </c>
    </row>
    <row r="335" spans="2:4" ht="12.75">
      <c r="B335" s="1" t="e">
        <v>#REF!</v>
      </c>
      <c r="C335" s="3" t="e">
        <v>#REF!</v>
      </c>
      <c r="D335" s="1" t="str">
        <f ca="1"/>
        <v/>
      </c>
    </row>
    <row r="336" spans="2:4" ht="12.75">
      <c r="B336" s="1" t="e">
        <v>#REF!</v>
      </c>
      <c r="C336" s="3" t="e">
        <v>#REF!</v>
      </c>
      <c r="D336" s="1" t="str">
        <f ca="1"/>
        <v/>
      </c>
    </row>
    <row r="337" spans="2:4" ht="12.75">
      <c r="B337" s="1" t="e">
        <v>#REF!</v>
      </c>
      <c r="C337" s="3" t="e">
        <v>#REF!</v>
      </c>
      <c r="D337" s="1" t="str">
        <f ca="1"/>
        <v/>
      </c>
    </row>
    <row r="338" spans="2:4" ht="12.75">
      <c r="B338" s="1" t="e">
        <v>#REF!</v>
      </c>
      <c r="C338" s="3" t="e">
        <v>#REF!</v>
      </c>
      <c r="D338" s="1" t="str">
        <f ca="1"/>
        <v/>
      </c>
    </row>
    <row r="339" spans="2:4" ht="12.75">
      <c r="B339" s="1" t="e">
        <v>#REF!</v>
      </c>
      <c r="C339" s="3" t="e">
        <v>#REF!</v>
      </c>
      <c r="D339" s="1" t="str">
        <f ca="1"/>
        <v/>
      </c>
    </row>
    <row r="340" spans="2:4" ht="12.75">
      <c r="B340" s="1" t="e">
        <v>#REF!</v>
      </c>
      <c r="C340" s="3" t="e">
        <v>#REF!</v>
      </c>
      <c r="D340" s="1" t="str">
        <f ca="1"/>
        <v/>
      </c>
    </row>
    <row r="341" spans="2:4" ht="12.75">
      <c r="B341" s="1" t="e">
        <v>#REF!</v>
      </c>
      <c r="C341" s="3" t="e">
        <v>#REF!</v>
      </c>
      <c r="D341" s="1" t="str">
        <f ca="1"/>
        <v/>
      </c>
    </row>
    <row r="342" spans="2:4" ht="12.75">
      <c r="B342" s="1" t="e">
        <v>#REF!</v>
      </c>
      <c r="C342" s="3" t="e">
        <v>#REF!</v>
      </c>
      <c r="D342" s="1" t="str">
        <f ca="1"/>
        <v/>
      </c>
    </row>
    <row r="343" spans="2:4" ht="12.75">
      <c r="B343" s="1" t="e">
        <v>#REF!</v>
      </c>
      <c r="C343" s="3" t="e">
        <v>#REF!</v>
      </c>
      <c r="D343" s="1" t="str">
        <f ca="1"/>
        <v/>
      </c>
    </row>
    <row r="344" spans="2:4" ht="12.75">
      <c r="B344" s="1" t="e">
        <v>#REF!</v>
      </c>
      <c r="C344" s="3" t="e">
        <v>#REF!</v>
      </c>
      <c r="D344" s="1" t="str">
        <f ca="1"/>
        <v/>
      </c>
    </row>
    <row r="345" spans="2:4" ht="12.75">
      <c r="B345" s="1" t="e">
        <v>#REF!</v>
      </c>
      <c r="C345" s="3" t="e">
        <v>#REF!</v>
      </c>
      <c r="D345" s="1" t="str">
        <f ca="1"/>
        <v/>
      </c>
    </row>
    <row r="346" spans="2:4" ht="12.75">
      <c r="B346" s="1" t="e">
        <v>#REF!</v>
      </c>
      <c r="C346" s="3" t="e">
        <v>#REF!</v>
      </c>
      <c r="D346" s="1" t="str">
        <f ca="1"/>
        <v/>
      </c>
    </row>
    <row r="347" spans="2:4" ht="12.75">
      <c r="B347" s="1" t="e">
        <v>#REF!</v>
      </c>
      <c r="C347" s="3" t="e">
        <v>#REF!</v>
      </c>
      <c r="D347" s="1" t="str">
        <f ca="1"/>
        <v/>
      </c>
    </row>
    <row r="348" spans="2:4" ht="12.75">
      <c r="B348" s="1" t="e">
        <v>#REF!</v>
      </c>
      <c r="C348" s="3" t="e">
        <v>#REF!</v>
      </c>
      <c r="D348" s="1" t="str">
        <f ca="1"/>
        <v/>
      </c>
    </row>
    <row r="349" spans="2:4" ht="12.75">
      <c r="B349" s="1" t="e">
        <v>#REF!</v>
      </c>
      <c r="C349" s="3" t="e">
        <v>#REF!</v>
      </c>
      <c r="D349" s="1" t="str">
        <f ca="1"/>
        <v/>
      </c>
    </row>
    <row r="350" spans="2:4" ht="12.75">
      <c r="B350" s="1" t="e">
        <v>#REF!</v>
      </c>
      <c r="C350" s="3" t="e">
        <v>#REF!</v>
      </c>
      <c r="D350" s="1" t="str">
        <f ca="1"/>
        <v/>
      </c>
    </row>
    <row r="351" spans="2:4" ht="12.75">
      <c r="B351" s="1" t="e">
        <v>#REF!</v>
      </c>
      <c r="C351" s="3" t="e">
        <v>#REF!</v>
      </c>
      <c r="D351" s="1" t="str">
        <f ca="1"/>
        <v/>
      </c>
    </row>
    <row r="352" spans="2:4" ht="12.75">
      <c r="B352" s="1" t="e">
        <v>#REF!</v>
      </c>
      <c r="C352" s="3" t="e">
        <v>#REF!</v>
      </c>
      <c r="D352" s="1" t="str">
        <f ca="1"/>
        <v/>
      </c>
    </row>
    <row r="353" spans="2:4" ht="12.75">
      <c r="B353" s="1" t="e">
        <v>#REF!</v>
      </c>
      <c r="C353" s="3" t="e">
        <v>#REF!</v>
      </c>
      <c r="D353" s="1" t="str">
        <f ca="1"/>
        <v/>
      </c>
    </row>
    <row r="354" spans="2:4" ht="12.75">
      <c r="B354" s="1" t="e">
        <v>#REF!</v>
      </c>
      <c r="C354" s="3" t="e">
        <v>#REF!</v>
      </c>
      <c r="D354" s="1" t="str">
        <f ca="1"/>
        <v/>
      </c>
    </row>
    <row r="355" spans="2:4" ht="12.75">
      <c r="B355" s="1" t="e">
        <v>#REF!</v>
      </c>
      <c r="C355" s="3" t="e">
        <v>#REF!</v>
      </c>
      <c r="D355" s="1" t="str">
        <f ca="1"/>
        <v/>
      </c>
    </row>
    <row r="356" spans="2:4" ht="12.75">
      <c r="B356" s="1" t="e">
        <v>#REF!</v>
      </c>
      <c r="C356" s="3" t="e">
        <v>#REF!</v>
      </c>
      <c r="D356" s="1" t="str">
        <f ca="1"/>
        <v/>
      </c>
    </row>
    <row r="357" spans="2:4" ht="12.75">
      <c r="B357" s="1" t="e">
        <v>#REF!</v>
      </c>
      <c r="C357" s="3" t="e">
        <v>#REF!</v>
      </c>
      <c r="D357" s="1" t="str">
        <f ca="1"/>
        <v/>
      </c>
    </row>
    <row r="358" spans="2:4" ht="12.75">
      <c r="B358" s="1" t="e">
        <v>#REF!</v>
      </c>
      <c r="C358" s="3" t="e">
        <v>#REF!</v>
      </c>
      <c r="D358" s="1" t="str">
        <f ca="1"/>
        <v/>
      </c>
    </row>
    <row r="359" spans="2:4" ht="12.75">
      <c r="B359" s="1" t="e">
        <v>#REF!</v>
      </c>
      <c r="C359" s="3" t="e">
        <v>#REF!</v>
      </c>
      <c r="D359" s="1" t="str">
        <f ca="1"/>
        <v/>
      </c>
    </row>
    <row r="360" spans="2:4" ht="12.75">
      <c r="B360" s="1" t="e">
        <v>#REF!</v>
      </c>
      <c r="C360" s="3" t="e">
        <v>#REF!</v>
      </c>
      <c r="D360" s="1" t="str">
        <f ca="1"/>
        <v/>
      </c>
    </row>
    <row r="361" spans="2:4" ht="12.75">
      <c r="B361" s="1" t="e">
        <v>#REF!</v>
      </c>
      <c r="C361" s="3" t="e">
        <v>#REF!</v>
      </c>
      <c r="D361" s="1" t="str">
        <f ca="1"/>
        <v/>
      </c>
    </row>
    <row r="362" spans="2:4" ht="12.75">
      <c r="B362" s="1" t="e">
        <v>#REF!</v>
      </c>
      <c r="C362" s="3" t="e">
        <v>#REF!</v>
      </c>
      <c r="D362" s="1" t="str">
        <f ca="1"/>
        <v/>
      </c>
    </row>
    <row r="363" spans="2:4" ht="12.75">
      <c r="B363" s="1" t="e">
        <v>#REF!</v>
      </c>
      <c r="C363" s="3" t="e">
        <v>#REF!</v>
      </c>
      <c r="D363" s="1" t="str">
        <f ca="1"/>
        <v/>
      </c>
    </row>
    <row r="364" spans="2:4" ht="12.75">
      <c r="B364" s="1" t="e">
        <v>#REF!</v>
      </c>
      <c r="C364" s="3" t="e">
        <v>#REF!</v>
      </c>
      <c r="D364" s="1" t="str">
        <f ca="1"/>
        <v/>
      </c>
    </row>
    <row r="365" spans="2:4" ht="12.75">
      <c r="B365" s="1" t="e">
        <v>#REF!</v>
      </c>
      <c r="C365" s="3" t="e">
        <v>#REF!</v>
      </c>
      <c r="D365" s="1" t="str">
        <f ca="1"/>
        <v/>
      </c>
    </row>
    <row r="366" spans="2:4" ht="12.75">
      <c r="B366" s="1" t="e">
        <v>#REF!</v>
      </c>
      <c r="C366" s="3" t="e">
        <v>#REF!</v>
      </c>
      <c r="D366" s="1" t="str">
        <f ca="1"/>
        <v/>
      </c>
    </row>
    <row r="367" spans="2:4" ht="12.75">
      <c r="B367" s="1" t="e">
        <v>#REF!</v>
      </c>
      <c r="C367" s="3" t="e">
        <v>#REF!</v>
      </c>
      <c r="D367" s="1" t="str">
        <f ca="1"/>
        <v/>
      </c>
    </row>
    <row r="368" spans="2:4" ht="12.75">
      <c r="B368" s="1" t="e">
        <v>#REF!</v>
      </c>
      <c r="C368" s="3" t="e">
        <v>#REF!</v>
      </c>
      <c r="D368" s="1" t="str">
        <f ca="1"/>
        <v/>
      </c>
    </row>
    <row r="369" spans="2:4" ht="12.75">
      <c r="B369" s="1" t="e">
        <v>#REF!</v>
      </c>
      <c r="C369" s="3" t="e">
        <v>#REF!</v>
      </c>
      <c r="D369" s="1" t="str">
        <f ca="1"/>
        <v/>
      </c>
    </row>
    <row r="370" spans="2:4" ht="12.75">
      <c r="B370" s="1" t="e">
        <v>#REF!</v>
      </c>
      <c r="C370" s="3" t="e">
        <v>#REF!</v>
      </c>
      <c r="D370" s="1" t="str">
        <f ca="1"/>
        <v/>
      </c>
    </row>
    <row r="371" spans="2:4" ht="12.75">
      <c r="B371" s="1" t="e">
        <v>#REF!</v>
      </c>
      <c r="C371" s="3" t="e">
        <v>#REF!</v>
      </c>
      <c r="D371" s="1" t="str">
        <f ca="1"/>
        <v/>
      </c>
    </row>
    <row r="372" spans="2:4" ht="12.75">
      <c r="B372" s="1" t="e">
        <v>#REF!</v>
      </c>
      <c r="C372" s="3" t="e">
        <v>#REF!</v>
      </c>
      <c r="D372" s="1" t="str">
        <f ca="1"/>
        <v/>
      </c>
    </row>
    <row r="373" spans="2:4" ht="12.75">
      <c r="B373" s="1" t="e">
        <v>#REF!</v>
      </c>
      <c r="C373" s="3" t="e">
        <v>#REF!</v>
      </c>
      <c r="D373" s="1" t="str">
        <f ca="1"/>
        <v/>
      </c>
    </row>
    <row r="374" spans="2:4" ht="12.75">
      <c r="B374" s="1" t="e">
        <v>#REF!</v>
      </c>
      <c r="C374" s="3" t="e">
        <v>#REF!</v>
      </c>
      <c r="D374" s="1" t="str">
        <f ca="1"/>
        <v/>
      </c>
    </row>
    <row r="375" spans="2:4" ht="12.75">
      <c r="B375" s="1" t="e">
        <v>#REF!</v>
      </c>
      <c r="C375" s="3" t="e">
        <v>#REF!</v>
      </c>
      <c r="D375" s="1" t="str">
        <f ca="1"/>
        <v/>
      </c>
    </row>
    <row r="376" spans="2:4" ht="12.75">
      <c r="B376" s="1" t="e">
        <v>#REF!</v>
      </c>
      <c r="C376" s="3" t="e">
        <v>#REF!</v>
      </c>
      <c r="D376" s="1" t="str">
        <f ca="1"/>
        <v/>
      </c>
    </row>
    <row r="377" spans="2:4" ht="12.75">
      <c r="B377" s="1" t="e">
        <v>#REF!</v>
      </c>
      <c r="C377" s="3" t="e">
        <v>#REF!</v>
      </c>
      <c r="D377" s="1" t="str">
        <f ca="1"/>
        <v/>
      </c>
    </row>
    <row r="378" spans="2:4" ht="12.75">
      <c r="B378" s="1" t="e">
        <v>#REF!</v>
      </c>
      <c r="C378" s="3" t="e">
        <v>#REF!</v>
      </c>
      <c r="D378" s="1" t="str">
        <f ca="1"/>
        <v/>
      </c>
    </row>
    <row r="379" spans="2:4" ht="12.75">
      <c r="B379" s="1" t="e">
        <v>#REF!</v>
      </c>
      <c r="C379" s="3" t="e">
        <v>#REF!</v>
      </c>
      <c r="D379" s="1" t="str">
        <f ca="1"/>
        <v/>
      </c>
    </row>
    <row r="380" spans="2:4" ht="12.75">
      <c r="B380" s="1" t="e">
        <v>#REF!</v>
      </c>
      <c r="C380" s="3" t="e">
        <v>#REF!</v>
      </c>
      <c r="D380" s="1" t="str">
        <f ca="1"/>
        <v/>
      </c>
    </row>
    <row r="381" spans="2:4" ht="12.75">
      <c r="B381" s="1" t="e">
        <v>#REF!</v>
      </c>
      <c r="C381" s="3" t="e">
        <v>#REF!</v>
      </c>
      <c r="D381" s="1" t="str">
        <f ca="1"/>
        <v/>
      </c>
    </row>
    <row r="382" spans="2:4" ht="12.75">
      <c r="B382" s="1" t="e">
        <v>#REF!</v>
      </c>
      <c r="C382" s="3" t="e">
        <v>#REF!</v>
      </c>
      <c r="D382" s="1" t="str">
        <f ca="1"/>
        <v/>
      </c>
    </row>
    <row r="383" spans="2:4" ht="12.75">
      <c r="B383" s="1" t="e">
        <v>#REF!</v>
      </c>
      <c r="C383" s="3" t="e">
        <v>#REF!</v>
      </c>
      <c r="D383" s="1" t="str">
        <f ca="1"/>
        <v/>
      </c>
    </row>
    <row r="384" spans="2:4" ht="12.75">
      <c r="B384" s="1" t="e">
        <v>#REF!</v>
      </c>
      <c r="C384" s="3" t="e">
        <v>#REF!</v>
      </c>
      <c r="D384" s="1" t="str">
        <f ca="1"/>
        <v/>
      </c>
    </row>
    <row r="385" spans="2:4" ht="12.75">
      <c r="B385" s="1" t="e">
        <v>#REF!</v>
      </c>
      <c r="C385" s="3" t="e">
        <v>#REF!</v>
      </c>
      <c r="D385" s="1" t="str">
        <f ca="1"/>
        <v/>
      </c>
    </row>
    <row r="386" spans="2:4" ht="12.75">
      <c r="B386" s="1" t="e">
        <v>#REF!</v>
      </c>
      <c r="C386" s="3" t="e">
        <v>#REF!</v>
      </c>
      <c r="D386" s="1" t="str">
        <f ca="1"/>
        <v/>
      </c>
    </row>
    <row r="387" spans="2:4" ht="12.75">
      <c r="B387" s="1" t="e">
        <v>#REF!</v>
      </c>
      <c r="C387" s="3" t="e">
        <v>#REF!</v>
      </c>
      <c r="D387" s="1" t="str">
        <f ca="1"/>
        <v/>
      </c>
    </row>
    <row r="388" spans="2:4" ht="12.75">
      <c r="B388" s="1" t="e">
        <v>#REF!</v>
      </c>
      <c r="C388" s="3" t="e">
        <v>#REF!</v>
      </c>
      <c r="D388" s="1" t="str">
        <f ca="1"/>
        <v/>
      </c>
    </row>
    <row r="389" spans="2:4" ht="12.75">
      <c r="B389" s="1" t="e">
        <v>#REF!</v>
      </c>
      <c r="C389" s="3" t="e">
        <v>#REF!</v>
      </c>
      <c r="D389" s="1" t="str">
        <f ca="1"/>
        <v/>
      </c>
    </row>
    <row r="390" spans="2:4" ht="12.75">
      <c r="B390" s="1" t="e">
        <v>#REF!</v>
      </c>
      <c r="C390" s="3" t="e">
        <v>#REF!</v>
      </c>
      <c r="D390" s="1" t="str">
        <f ca="1"/>
        <v/>
      </c>
    </row>
    <row r="391" spans="2:4" ht="12.75">
      <c r="B391" s="1" t="e">
        <v>#REF!</v>
      </c>
      <c r="C391" s="3" t="e">
        <v>#REF!</v>
      </c>
      <c r="D391" s="1" t="str">
        <f ca="1"/>
        <v/>
      </c>
    </row>
    <row r="392" spans="2:4" ht="12.75">
      <c r="B392" s="1" t="e">
        <v>#REF!</v>
      </c>
      <c r="C392" s="3" t="e">
        <v>#REF!</v>
      </c>
      <c r="D392" s="1" t="str">
        <f ca="1"/>
        <v/>
      </c>
    </row>
    <row r="393" spans="2:4" ht="12.75">
      <c r="B393" s="1" t="e">
        <v>#REF!</v>
      </c>
      <c r="C393" s="3" t="e">
        <v>#REF!</v>
      </c>
      <c r="D393" s="1" t="str">
        <f ca="1"/>
        <v/>
      </c>
    </row>
    <row r="394" spans="2:4" ht="12.75">
      <c r="B394" s="1" t="e">
        <v>#REF!</v>
      </c>
      <c r="C394" s="3" t="e">
        <v>#REF!</v>
      </c>
      <c r="D394" s="1" t="str">
        <f ca="1"/>
        <v/>
      </c>
    </row>
    <row r="395" spans="2:4" ht="12.75">
      <c r="B395" s="1" t="e">
        <v>#REF!</v>
      </c>
      <c r="C395" s="3" t="e">
        <v>#REF!</v>
      </c>
      <c r="D395" s="1" t="str">
        <f ca="1"/>
        <v/>
      </c>
    </row>
    <row r="396" spans="2:4" ht="12.75">
      <c r="B396" s="1" t="e">
        <v>#REF!</v>
      </c>
      <c r="C396" s="3" t="e">
        <v>#REF!</v>
      </c>
      <c r="D396" s="1" t="str">
        <f ca="1"/>
        <v/>
      </c>
    </row>
    <row r="397" spans="2:4" ht="12.75">
      <c r="B397" s="1" t="e">
        <v>#REF!</v>
      </c>
      <c r="C397" s="3" t="e">
        <v>#REF!</v>
      </c>
      <c r="D397" s="1" t="str">
        <f ca="1"/>
        <v/>
      </c>
    </row>
    <row r="398" spans="2:4" ht="12.75">
      <c r="B398" s="1" t="e">
        <v>#REF!</v>
      </c>
      <c r="C398" s="3" t="e">
        <v>#REF!</v>
      </c>
      <c r="D398" s="1" t="str">
        <f ca="1"/>
        <v/>
      </c>
    </row>
    <row r="399" spans="2:4" ht="12.75">
      <c r="B399" s="1" t="e">
        <v>#REF!</v>
      </c>
      <c r="C399" s="3" t="e">
        <v>#REF!</v>
      </c>
      <c r="D399" s="1" t="str">
        <f ca="1"/>
        <v/>
      </c>
    </row>
    <row r="400" spans="2:4" ht="12.75">
      <c r="B400" s="1" t="e">
        <v>#REF!</v>
      </c>
      <c r="C400" s="3" t="e">
        <v>#REF!</v>
      </c>
      <c r="D400" s="1" t="str">
        <f ca="1"/>
        <v/>
      </c>
    </row>
    <row r="401" spans="2:4" ht="12.75">
      <c r="B401" s="1" t="e">
        <v>#REF!</v>
      </c>
      <c r="C401" s="3" t="e">
        <v>#REF!</v>
      </c>
      <c r="D401" s="1" t="str">
        <f ca="1"/>
        <v/>
      </c>
    </row>
    <row r="402" spans="2:4" ht="12.75">
      <c r="B402" s="1" t="e">
        <v>#REF!</v>
      </c>
      <c r="C402" s="3" t="e">
        <v>#REF!</v>
      </c>
      <c r="D402" s="1" t="str">
        <f ca="1"/>
        <v/>
      </c>
    </row>
    <row r="403" spans="2:4" ht="12.75">
      <c r="B403" s="1" t="e">
        <v>#REF!</v>
      </c>
      <c r="C403" s="3" t="e">
        <v>#REF!</v>
      </c>
      <c r="D403" s="1" t="str">
        <f ca="1"/>
        <v/>
      </c>
    </row>
    <row r="404" spans="2:4" ht="12.75">
      <c r="B404" s="1" t="e">
        <v>#REF!</v>
      </c>
      <c r="C404" s="3" t="e">
        <v>#REF!</v>
      </c>
      <c r="D404" s="1" t="str">
        <f ca="1"/>
        <v/>
      </c>
    </row>
    <row r="405" spans="2:4" ht="12.75">
      <c r="B405" s="1" t="e">
        <v>#REF!</v>
      </c>
      <c r="C405" s="3" t="e">
        <v>#REF!</v>
      </c>
      <c r="D405" s="1" t="str">
        <f ca="1"/>
        <v/>
      </c>
    </row>
    <row r="406" spans="2:4" ht="12.75">
      <c r="B406" s="1" t="e">
        <v>#REF!</v>
      </c>
      <c r="C406" s="3" t="e">
        <v>#REF!</v>
      </c>
      <c r="D406" s="1" t="str">
        <f ca="1"/>
        <v/>
      </c>
    </row>
    <row r="407" spans="2:4" ht="12.75">
      <c r="B407" s="1" t="e">
        <v>#REF!</v>
      </c>
      <c r="C407" s="3" t="e">
        <v>#REF!</v>
      </c>
      <c r="D407" s="1" t="str">
        <f ca="1"/>
        <v/>
      </c>
    </row>
    <row r="408" spans="2:4" ht="12.75">
      <c r="B408" s="1" t="e">
        <v>#REF!</v>
      </c>
      <c r="C408" s="3" t="e">
        <v>#REF!</v>
      </c>
      <c r="D408" s="1" t="str">
        <f ca="1"/>
        <v/>
      </c>
    </row>
    <row r="409" spans="2:4" ht="12.75">
      <c r="B409" s="1" t="e">
        <v>#REF!</v>
      </c>
      <c r="C409" s="3" t="e">
        <v>#REF!</v>
      </c>
      <c r="D409" s="1" t="str">
        <f ca="1"/>
        <v/>
      </c>
    </row>
    <row r="410" spans="2:4" ht="12.75">
      <c r="B410" s="1" t="e">
        <v>#REF!</v>
      </c>
      <c r="C410" s="3" t="e">
        <v>#REF!</v>
      </c>
      <c r="D410" s="1" t="str">
        <f ca="1"/>
        <v/>
      </c>
    </row>
    <row r="411" spans="2:4" ht="12.75">
      <c r="B411" s="1" t="e">
        <v>#REF!</v>
      </c>
      <c r="C411" s="3" t="e">
        <v>#REF!</v>
      </c>
      <c r="D411" s="1" t="str">
        <f ca="1"/>
        <v/>
      </c>
    </row>
    <row r="412" spans="2:4" ht="12.75">
      <c r="B412" s="1" t="e">
        <v>#REF!</v>
      </c>
      <c r="C412" s="3" t="e">
        <v>#REF!</v>
      </c>
      <c r="D412" s="1" t="str">
        <f ca="1"/>
        <v/>
      </c>
    </row>
    <row r="413" spans="2:4" ht="12.75">
      <c r="B413" s="1" t="e">
        <v>#REF!</v>
      </c>
      <c r="C413" s="3" t="e">
        <v>#REF!</v>
      </c>
      <c r="D413" s="1" t="str">
        <f ca="1"/>
        <v/>
      </c>
    </row>
    <row r="414" spans="2:4" ht="12.75">
      <c r="B414" s="1" t="e">
        <v>#REF!</v>
      </c>
      <c r="C414" s="3" t="e">
        <v>#REF!</v>
      </c>
      <c r="D414" s="1" t="str">
        <f ca="1"/>
        <v/>
      </c>
    </row>
    <row r="415" spans="2:4" ht="12.75">
      <c r="B415" s="1" t="e">
        <v>#REF!</v>
      </c>
      <c r="C415" s="3" t="e">
        <v>#REF!</v>
      </c>
      <c r="D415" s="1" t="str">
        <f ca="1"/>
        <v/>
      </c>
    </row>
    <row r="416" spans="2:4" ht="12.75">
      <c r="B416" s="1" t="e">
        <v>#REF!</v>
      </c>
      <c r="C416" s="3" t="e">
        <v>#REF!</v>
      </c>
      <c r="D416" s="1" t="str">
        <f ca="1"/>
        <v/>
      </c>
    </row>
    <row r="417" spans="2:4" ht="12.75">
      <c r="B417" s="1" t="e">
        <v>#REF!</v>
      </c>
      <c r="C417" s="3" t="e">
        <v>#REF!</v>
      </c>
      <c r="D417" s="1" t="str">
        <f ca="1"/>
        <v/>
      </c>
    </row>
    <row r="418" spans="2:4" ht="12.75">
      <c r="B418" s="1" t="e">
        <v>#REF!</v>
      </c>
      <c r="C418" s="3" t="e">
        <v>#REF!</v>
      </c>
      <c r="D418" s="1" t="str">
        <f ca="1"/>
        <v/>
      </c>
    </row>
    <row r="419" spans="2:4" ht="12.75">
      <c r="B419" s="1" t="e">
        <v>#REF!</v>
      </c>
      <c r="C419" s="3" t="e">
        <v>#REF!</v>
      </c>
      <c r="D419" s="1" t="str">
        <f ca="1"/>
        <v/>
      </c>
    </row>
    <row r="420" spans="2:4" ht="12.75">
      <c r="B420" s="1" t="e">
        <v>#REF!</v>
      </c>
      <c r="C420" s="3" t="e">
        <v>#REF!</v>
      </c>
      <c r="D420" s="1" t="str">
        <f ca="1"/>
        <v/>
      </c>
    </row>
    <row r="421" spans="2:4" ht="12.75">
      <c r="B421" s="1" t="e">
        <v>#REF!</v>
      </c>
      <c r="C421" s="3" t="e">
        <v>#REF!</v>
      </c>
      <c r="D421" s="1" t="str">
        <f ca="1"/>
        <v/>
      </c>
    </row>
    <row r="422" spans="2:4" ht="12.75">
      <c r="B422" s="1" t="e">
        <v>#REF!</v>
      </c>
      <c r="C422" s="3" t="e">
        <v>#REF!</v>
      </c>
      <c r="D422" s="1" t="str">
        <f ca="1"/>
        <v/>
      </c>
    </row>
    <row r="423" spans="2:4" ht="12.75">
      <c r="B423" s="1" t="e">
        <v>#REF!</v>
      </c>
      <c r="C423" s="3" t="e">
        <v>#REF!</v>
      </c>
      <c r="D423" s="1" t="str">
        <f ca="1"/>
        <v/>
      </c>
    </row>
    <row r="424" spans="2:4" ht="12.75">
      <c r="B424" s="1" t="e">
        <v>#REF!</v>
      </c>
      <c r="C424" s="3" t="e">
        <v>#REF!</v>
      </c>
      <c r="D424" s="1" t="str">
        <f ca="1"/>
        <v/>
      </c>
    </row>
    <row r="425" spans="2:4" ht="12.75">
      <c r="B425" s="1" t="e">
        <v>#REF!</v>
      </c>
      <c r="C425" s="3" t="e">
        <v>#REF!</v>
      </c>
      <c r="D425" s="1" t="str">
        <f ca="1"/>
        <v/>
      </c>
    </row>
    <row r="426" spans="2:4" ht="12.75">
      <c r="B426" s="1" t="e">
        <v>#REF!</v>
      </c>
      <c r="C426" s="3" t="e">
        <v>#REF!</v>
      </c>
      <c r="D426" s="1" t="str">
        <f ca="1"/>
        <v/>
      </c>
    </row>
    <row r="427" spans="2:4" ht="12.75">
      <c r="B427" s="1" t="e">
        <v>#REF!</v>
      </c>
      <c r="C427" s="3" t="e">
        <v>#REF!</v>
      </c>
      <c r="D427" s="1" t="str">
        <f ca="1"/>
        <v/>
      </c>
    </row>
    <row r="428" spans="2:4" ht="12.75">
      <c r="B428" s="1" t="e">
        <v>#REF!</v>
      </c>
      <c r="C428" s="3" t="e">
        <v>#REF!</v>
      </c>
      <c r="D428" s="1" t="str">
        <f ca="1"/>
        <v/>
      </c>
    </row>
    <row r="429" spans="2:4" ht="12.75">
      <c r="B429" s="1" t="e">
        <v>#REF!</v>
      </c>
      <c r="C429" s="3" t="e">
        <v>#REF!</v>
      </c>
      <c r="D429" s="1" t="str">
        <f ca="1"/>
        <v/>
      </c>
    </row>
    <row r="430" spans="2:4" ht="12.75">
      <c r="B430" s="1" t="e">
        <v>#REF!</v>
      </c>
      <c r="C430" s="3" t="e">
        <v>#REF!</v>
      </c>
      <c r="D430" s="1" t="str">
        <f ca="1"/>
        <v/>
      </c>
    </row>
    <row r="431" spans="2:4" ht="12.75">
      <c r="B431" s="1" t="e">
        <v>#REF!</v>
      </c>
      <c r="C431" s="3" t="e">
        <v>#REF!</v>
      </c>
      <c r="D431" s="1" t="str">
        <f ca="1"/>
        <v/>
      </c>
    </row>
    <row r="432" spans="2:4" ht="12.75">
      <c r="B432" s="1" t="e">
        <v>#REF!</v>
      </c>
      <c r="C432" s="3" t="e">
        <v>#REF!</v>
      </c>
      <c r="D432" s="1" t="str">
        <f ca="1"/>
        <v/>
      </c>
    </row>
    <row r="433" spans="2:4" ht="12.75">
      <c r="B433" s="1" t="e">
        <v>#REF!</v>
      </c>
      <c r="C433" s="3" t="e">
        <v>#REF!</v>
      </c>
      <c r="D433" s="1" t="str">
        <f ca="1"/>
        <v/>
      </c>
    </row>
    <row r="434" spans="2:4" ht="12.75">
      <c r="B434" s="1" t="e">
        <v>#REF!</v>
      </c>
      <c r="C434" s="3" t="e">
        <v>#REF!</v>
      </c>
      <c r="D434" s="1" t="str">
        <f ca="1"/>
        <v/>
      </c>
    </row>
    <row r="435" spans="2:4" ht="12.75">
      <c r="B435" s="1" t="e">
        <v>#REF!</v>
      </c>
      <c r="C435" s="3" t="e">
        <v>#REF!</v>
      </c>
      <c r="D435" s="1" t="str">
        <f ca="1"/>
        <v/>
      </c>
    </row>
    <row r="436" spans="2:4" ht="12.75">
      <c r="B436" s="1" t="e">
        <v>#REF!</v>
      </c>
      <c r="C436" s="3" t="e">
        <v>#REF!</v>
      </c>
      <c r="D436" s="1" t="str">
        <f ca="1"/>
        <v/>
      </c>
    </row>
    <row r="437" spans="2:4" ht="12.75">
      <c r="B437" s="1" t="e">
        <v>#REF!</v>
      </c>
      <c r="C437" s="3" t="e">
        <v>#REF!</v>
      </c>
      <c r="D437" s="1" t="str">
        <f ca="1"/>
        <v/>
      </c>
    </row>
    <row r="438" spans="2:4" ht="12.75">
      <c r="B438" s="1" t="e">
        <v>#REF!</v>
      </c>
      <c r="C438" s="3" t="e">
        <v>#REF!</v>
      </c>
      <c r="D438" s="1" t="str">
        <f ca="1"/>
        <v/>
      </c>
    </row>
    <row r="439" spans="2:4" ht="12.75">
      <c r="B439" s="1" t="e">
        <v>#REF!</v>
      </c>
      <c r="C439" s="3" t="e">
        <v>#REF!</v>
      </c>
      <c r="D439" s="1" t="str">
        <f ca="1"/>
        <v/>
      </c>
    </row>
    <row r="440" spans="2:4" ht="12.75">
      <c r="B440" s="1" t="e">
        <v>#REF!</v>
      </c>
      <c r="C440" s="3" t="e">
        <v>#REF!</v>
      </c>
      <c r="D440" s="1" t="str">
        <f ca="1"/>
        <v/>
      </c>
    </row>
    <row r="441" spans="2:4" ht="12.75">
      <c r="B441" s="1" t="e">
        <v>#REF!</v>
      </c>
      <c r="C441" s="3" t="e">
        <v>#REF!</v>
      </c>
      <c r="D441" s="1" t="str">
        <f ca="1"/>
        <v/>
      </c>
    </row>
    <row r="442" spans="2:4" ht="12.75">
      <c r="B442" s="1" t="e">
        <v>#REF!</v>
      </c>
      <c r="C442" s="3" t="e">
        <v>#REF!</v>
      </c>
      <c r="D442" s="1" t="str">
        <f ca="1"/>
        <v/>
      </c>
    </row>
    <row r="443" spans="2:4" ht="12.75">
      <c r="B443" s="1" t="e">
        <v>#REF!</v>
      </c>
      <c r="C443" s="3" t="e">
        <v>#REF!</v>
      </c>
      <c r="D443" s="1" t="str">
        <f ca="1"/>
        <v/>
      </c>
    </row>
    <row r="444" spans="2:4" ht="12.75">
      <c r="B444" s="1" t="e">
        <v>#REF!</v>
      </c>
      <c r="C444" s="3" t="e">
        <v>#REF!</v>
      </c>
      <c r="D444" s="1" t="str">
        <f ca="1"/>
        <v/>
      </c>
    </row>
    <row r="445" spans="2:4" ht="12.75">
      <c r="B445" s="1" t="e">
        <v>#REF!</v>
      </c>
      <c r="C445" s="3" t="e">
        <v>#REF!</v>
      </c>
      <c r="D445" s="1" t="str">
        <f ca="1"/>
        <v/>
      </c>
    </row>
    <row r="446" spans="2:4" ht="12.75">
      <c r="B446" s="1" t="e">
        <v>#REF!</v>
      </c>
      <c r="C446" s="3" t="e">
        <v>#REF!</v>
      </c>
      <c r="D446" s="1" t="str">
        <f ca="1"/>
        <v/>
      </c>
    </row>
    <row r="447" spans="2:4" ht="12.75">
      <c r="B447" s="1" t="e">
        <v>#REF!</v>
      </c>
      <c r="C447" s="3" t="e">
        <v>#REF!</v>
      </c>
      <c r="D447" s="1" t="str">
        <f ca="1"/>
        <v/>
      </c>
    </row>
    <row r="448" spans="2:4" ht="12.75">
      <c r="B448" s="1" t="e">
        <v>#REF!</v>
      </c>
      <c r="C448" s="3" t="e">
        <v>#REF!</v>
      </c>
      <c r="D448" s="1" t="str">
        <f ca="1"/>
        <v/>
      </c>
    </row>
    <row r="449" spans="2:4" ht="12.75">
      <c r="B449" s="1" t="e">
        <v>#REF!</v>
      </c>
      <c r="C449" s="3" t="e">
        <v>#REF!</v>
      </c>
      <c r="D449" s="1" t="str">
        <f ca="1"/>
        <v/>
      </c>
    </row>
    <row r="450" spans="2:4" ht="12.75">
      <c r="B450" s="1" t="e">
        <v>#REF!</v>
      </c>
      <c r="C450" s="3" t="e">
        <v>#REF!</v>
      </c>
      <c r="D450" s="1" t="str">
        <f ca="1"/>
        <v/>
      </c>
    </row>
    <row r="451" spans="2:4" ht="12.75">
      <c r="B451" s="1" t="e">
        <v>#REF!</v>
      </c>
      <c r="C451" s="3" t="e">
        <v>#REF!</v>
      </c>
      <c r="D451" s="1" t="str">
        <f ca="1"/>
        <v/>
      </c>
    </row>
    <row r="452" spans="2:4" ht="12.75">
      <c r="B452" s="1" t="e">
        <v>#REF!</v>
      </c>
      <c r="C452" s="3" t="e">
        <v>#REF!</v>
      </c>
      <c r="D452" s="1" t="str">
        <f ca="1"/>
        <v/>
      </c>
    </row>
    <row r="453" spans="2:4" ht="12.75">
      <c r="B453" s="1" t="e">
        <v>#REF!</v>
      </c>
      <c r="C453" s="3" t="e">
        <v>#REF!</v>
      </c>
      <c r="D453" s="1" t="str">
        <f ca="1"/>
        <v/>
      </c>
    </row>
    <row r="454" spans="2:4" ht="12.75">
      <c r="B454" s="1" t="e">
        <v>#REF!</v>
      </c>
      <c r="C454" s="3" t="e">
        <v>#REF!</v>
      </c>
      <c r="D454" s="1" t="str">
        <f ca="1"/>
        <v/>
      </c>
    </row>
    <row r="455" spans="2:4" ht="12.75">
      <c r="B455" s="1" t="e">
        <v>#REF!</v>
      </c>
      <c r="C455" s="3" t="e">
        <v>#REF!</v>
      </c>
      <c r="D455" s="1" t="str">
        <f ca="1"/>
        <v/>
      </c>
    </row>
    <row r="456" spans="2:4" ht="12.75">
      <c r="B456" s="1" t="e">
        <v>#REF!</v>
      </c>
      <c r="C456" s="3" t="e">
        <v>#REF!</v>
      </c>
      <c r="D456" s="1" t="str">
        <f ca="1"/>
        <v/>
      </c>
    </row>
    <row r="457" spans="2:4" ht="12.75">
      <c r="B457" s="1" t="e">
        <v>#REF!</v>
      </c>
      <c r="C457" s="3" t="e">
        <v>#REF!</v>
      </c>
      <c r="D457" s="1" t="str">
        <f ca="1"/>
        <v/>
      </c>
    </row>
    <row r="458" spans="2:4" ht="12.75">
      <c r="B458" s="1" t="e">
        <v>#REF!</v>
      </c>
      <c r="C458" s="3" t="e">
        <v>#REF!</v>
      </c>
      <c r="D458" s="1" t="str">
        <f ca="1"/>
        <v/>
      </c>
    </row>
    <row r="459" spans="2:4" ht="12.75">
      <c r="B459" s="1" t="e">
        <v>#REF!</v>
      </c>
      <c r="C459" s="3" t="e">
        <v>#REF!</v>
      </c>
      <c r="D459" s="1" t="str">
        <f ca="1"/>
        <v/>
      </c>
    </row>
    <row r="460" spans="2:4" ht="12.75">
      <c r="B460" s="1" t="e">
        <v>#REF!</v>
      </c>
      <c r="C460" s="3" t="e">
        <v>#REF!</v>
      </c>
      <c r="D460" s="1" t="str">
        <f ca="1"/>
        <v/>
      </c>
    </row>
    <row r="461" spans="2:4" ht="12.75">
      <c r="B461" s="1" t="e">
        <v>#REF!</v>
      </c>
      <c r="C461" s="3" t="e">
        <v>#REF!</v>
      </c>
      <c r="D461" s="1" t="str">
        <f ca="1"/>
        <v/>
      </c>
    </row>
    <row r="462" spans="2:4" ht="12.75">
      <c r="B462" s="1" t="e">
        <v>#REF!</v>
      </c>
      <c r="C462" s="3" t="e">
        <v>#REF!</v>
      </c>
      <c r="D462" s="1" t="str">
        <f ca="1"/>
        <v/>
      </c>
    </row>
    <row r="463" spans="2:4" ht="12.75">
      <c r="B463" s="1" t="e">
        <v>#REF!</v>
      </c>
      <c r="C463" s="3" t="e">
        <v>#REF!</v>
      </c>
      <c r="D463" s="1" t="str">
        <f ca="1"/>
        <v/>
      </c>
    </row>
    <row r="464" spans="2:4" ht="12.75">
      <c r="B464" s="1" t="e">
        <v>#REF!</v>
      </c>
      <c r="C464" s="3" t="e">
        <v>#REF!</v>
      </c>
      <c r="D464" s="1" t="str">
        <f ca="1"/>
        <v/>
      </c>
    </row>
    <row r="465" spans="2:4" ht="12.75">
      <c r="B465" s="1" t="e">
        <v>#REF!</v>
      </c>
      <c r="C465" s="3" t="e">
        <v>#REF!</v>
      </c>
      <c r="D465" s="1" t="str">
        <f ca="1"/>
        <v/>
      </c>
    </row>
    <row r="466" spans="2:4" ht="12.75">
      <c r="B466" s="1" t="e">
        <v>#REF!</v>
      </c>
      <c r="C466" s="3" t="e">
        <v>#REF!</v>
      </c>
      <c r="D466" s="1" t="str">
        <f ca="1"/>
        <v/>
      </c>
    </row>
    <row r="467" spans="2:4" ht="12.75">
      <c r="B467" s="1" t="e">
        <v>#REF!</v>
      </c>
      <c r="C467" s="3" t="e">
        <v>#REF!</v>
      </c>
      <c r="D467" s="1" t="str">
        <f ca="1"/>
        <v/>
      </c>
    </row>
    <row r="468" spans="2:4" ht="12.75">
      <c r="B468" s="1" t="e">
        <v>#REF!</v>
      </c>
      <c r="C468" s="3" t="e">
        <v>#REF!</v>
      </c>
      <c r="D468" s="1" t="str">
        <f ca="1"/>
        <v/>
      </c>
    </row>
    <row r="469" spans="2:4" ht="12.75">
      <c r="B469" s="1" t="e">
        <v>#REF!</v>
      </c>
      <c r="C469" s="3" t="e">
        <v>#REF!</v>
      </c>
      <c r="D469" s="1" t="str">
        <f ca="1"/>
        <v/>
      </c>
    </row>
    <row r="470" spans="2:4" ht="12.75">
      <c r="B470" s="1" t="e">
        <v>#REF!</v>
      </c>
      <c r="C470" s="3" t="e">
        <v>#REF!</v>
      </c>
      <c r="D470" s="1" t="str">
        <f ca="1"/>
        <v/>
      </c>
    </row>
    <row r="471" spans="2:4" ht="12.75">
      <c r="B471" s="1" t="e">
        <v>#REF!</v>
      </c>
      <c r="C471" s="3" t="e">
        <v>#REF!</v>
      </c>
      <c r="D471" s="1" t="str">
        <f ca="1"/>
        <v/>
      </c>
    </row>
    <row r="472" spans="2:4" ht="12.75">
      <c r="B472" s="1" t="e">
        <v>#REF!</v>
      </c>
      <c r="C472" s="3" t="e">
        <v>#REF!</v>
      </c>
      <c r="D472" s="1" t="str">
        <f ca="1"/>
        <v/>
      </c>
    </row>
    <row r="473" spans="2:4" ht="12.75">
      <c r="B473" s="1" t="e">
        <v>#REF!</v>
      </c>
      <c r="C473" s="3" t="e">
        <v>#REF!</v>
      </c>
      <c r="D473" s="1" t="str">
        <f ca="1"/>
        <v/>
      </c>
    </row>
    <row r="474" spans="2:4" ht="12.75">
      <c r="B474" s="1" t="e">
        <v>#REF!</v>
      </c>
      <c r="C474" s="3" t="e">
        <v>#REF!</v>
      </c>
      <c r="D474" s="1" t="str">
        <f ca="1"/>
        <v/>
      </c>
    </row>
    <row r="475" spans="2:4" ht="12.75">
      <c r="B475" s="1" t="e">
        <v>#REF!</v>
      </c>
      <c r="C475" s="3" t="e">
        <v>#REF!</v>
      </c>
      <c r="D475" s="1" t="str">
        <f ca="1"/>
        <v/>
      </c>
    </row>
    <row r="476" spans="2:4" ht="12.75">
      <c r="B476" s="1" t="e">
        <v>#REF!</v>
      </c>
      <c r="C476" s="3" t="e">
        <v>#REF!</v>
      </c>
      <c r="D476" s="1" t="str">
        <f ca="1"/>
        <v/>
      </c>
    </row>
    <row r="477" spans="2:4" ht="12.75">
      <c r="B477" s="1" t="e">
        <v>#REF!</v>
      </c>
      <c r="C477" s="3" t="e">
        <v>#REF!</v>
      </c>
      <c r="D477" s="1" t="str">
        <f ca="1"/>
        <v/>
      </c>
    </row>
    <row r="478" spans="2:4" ht="12.75">
      <c r="B478" s="1" t="e">
        <v>#REF!</v>
      </c>
      <c r="C478" s="3" t="e">
        <v>#REF!</v>
      </c>
      <c r="D478" s="1" t="str">
        <f ca="1"/>
        <v/>
      </c>
    </row>
    <row r="479" spans="2:4" ht="12.75">
      <c r="B479" s="1" t="e">
        <v>#REF!</v>
      </c>
      <c r="C479" s="3" t="e">
        <v>#REF!</v>
      </c>
      <c r="D479" s="1" t="str">
        <f ca="1"/>
        <v/>
      </c>
    </row>
    <row r="480" spans="2:4" ht="12.75">
      <c r="B480" s="1" t="e">
        <v>#REF!</v>
      </c>
      <c r="C480" s="3" t="e">
        <v>#REF!</v>
      </c>
      <c r="D480" s="1" t="str">
        <f ca="1"/>
        <v/>
      </c>
    </row>
    <row r="481" spans="2:4" ht="12.75">
      <c r="B481" s="1" t="e">
        <v>#REF!</v>
      </c>
      <c r="C481" s="3" t="e">
        <v>#REF!</v>
      </c>
      <c r="D481" s="1" t="str">
        <f ca="1"/>
        <v/>
      </c>
    </row>
    <row r="482" spans="2:4" ht="12.75">
      <c r="B482" s="1" t="e">
        <v>#REF!</v>
      </c>
      <c r="C482" s="3" t="e">
        <v>#REF!</v>
      </c>
      <c r="D482" s="1" t="str">
        <f ca="1"/>
        <v/>
      </c>
    </row>
    <row r="483" spans="2:4" ht="12.75">
      <c r="B483" s="1" t="e">
        <v>#REF!</v>
      </c>
      <c r="C483" s="3" t="e">
        <v>#REF!</v>
      </c>
      <c r="D483" s="1" t="str">
        <f ca="1"/>
        <v/>
      </c>
    </row>
    <row r="484" spans="2:4" ht="12.75">
      <c r="B484" s="1" t="e">
        <v>#REF!</v>
      </c>
      <c r="C484" s="3" t="e">
        <v>#REF!</v>
      </c>
      <c r="D484" s="1" t="str">
        <f ca="1"/>
        <v/>
      </c>
    </row>
    <row r="485" spans="2:4" ht="12.75">
      <c r="B485" s="1" t="e">
        <v>#REF!</v>
      </c>
      <c r="C485" s="3" t="e">
        <v>#REF!</v>
      </c>
      <c r="D485" s="1" t="str">
        <f ca="1"/>
        <v/>
      </c>
    </row>
    <row r="486" spans="2:4" ht="12.75">
      <c r="B486" s="1" t="e">
        <v>#REF!</v>
      </c>
      <c r="C486" s="3" t="e">
        <v>#REF!</v>
      </c>
      <c r="D486" s="1" t="str">
        <f ca="1"/>
        <v/>
      </c>
    </row>
    <row r="487" spans="2:4" ht="12.75">
      <c r="B487" s="1" t="e">
        <v>#REF!</v>
      </c>
      <c r="C487" s="3" t="e">
        <v>#REF!</v>
      </c>
      <c r="D487" s="1" t="str">
        <f ca="1"/>
        <v/>
      </c>
    </row>
    <row r="488" spans="2:4" ht="12.75">
      <c r="B488" s="1" t="e">
        <v>#REF!</v>
      </c>
      <c r="C488" s="3" t="e">
        <v>#REF!</v>
      </c>
      <c r="D488" s="1" t="str">
        <f ca="1"/>
        <v/>
      </c>
    </row>
    <row r="489" spans="2:4" ht="12.75">
      <c r="B489" s="1" t="e">
        <v>#REF!</v>
      </c>
      <c r="C489" s="3" t="e">
        <v>#REF!</v>
      </c>
      <c r="D489" s="1" t="str">
        <f ca="1"/>
        <v/>
      </c>
    </row>
    <row r="490" spans="2:4" ht="12.75">
      <c r="B490" s="1" t="e">
        <v>#REF!</v>
      </c>
      <c r="C490" s="3" t="e">
        <v>#REF!</v>
      </c>
      <c r="D490" s="1" t="str">
        <f ca="1"/>
        <v/>
      </c>
    </row>
    <row r="491" spans="2:4" ht="12.75">
      <c r="B491" s="1" t="e">
        <v>#REF!</v>
      </c>
      <c r="C491" s="3" t="e">
        <v>#REF!</v>
      </c>
      <c r="D491" s="1" t="str">
        <f ca="1"/>
        <v/>
      </c>
    </row>
    <row r="492" spans="2:4" ht="12.75">
      <c r="B492" s="1" t="e">
        <v>#REF!</v>
      </c>
      <c r="C492" s="3" t="e">
        <v>#REF!</v>
      </c>
      <c r="D492" s="1" t="str">
        <f ca="1"/>
        <v/>
      </c>
    </row>
    <row r="493" spans="2:4" ht="12.75">
      <c r="B493" s="1" t="e">
        <v>#REF!</v>
      </c>
      <c r="C493" s="3" t="e">
        <v>#REF!</v>
      </c>
      <c r="D493" s="1" t="str">
        <f ca="1"/>
        <v/>
      </c>
    </row>
    <row r="494" spans="2:4" ht="12.75">
      <c r="B494" s="1" t="e">
        <v>#REF!</v>
      </c>
      <c r="C494" s="3" t="e">
        <v>#REF!</v>
      </c>
      <c r="D494" s="1" t="str">
        <f ca="1"/>
        <v/>
      </c>
    </row>
    <row r="495" spans="2:4" ht="12.75">
      <c r="B495" s="1" t="e">
        <v>#REF!</v>
      </c>
      <c r="C495" s="3" t="e">
        <v>#REF!</v>
      </c>
      <c r="D495" s="1" t="str">
        <f ca="1"/>
        <v/>
      </c>
    </row>
    <row r="496" spans="2:4" ht="12.75">
      <c r="B496" s="1" t="e">
        <v>#REF!</v>
      </c>
      <c r="C496" s="3" t="e">
        <v>#REF!</v>
      </c>
      <c r="D496" s="1" t="str">
        <f ca="1"/>
        <v/>
      </c>
    </row>
    <row r="497" spans="2:4" ht="12.75">
      <c r="B497" s="1" t="e">
        <v>#REF!</v>
      </c>
      <c r="C497" s="3" t="e">
        <v>#REF!</v>
      </c>
      <c r="D497" s="1" t="str">
        <f ca="1"/>
        <v/>
      </c>
    </row>
    <row r="498" spans="2:4" ht="12.75">
      <c r="B498" s="1" t="e">
        <v>#REF!</v>
      </c>
      <c r="C498" s="3" t="e">
        <v>#REF!</v>
      </c>
      <c r="D498" s="1" t="str">
        <f ca="1"/>
        <v/>
      </c>
    </row>
    <row r="499" spans="2:4" ht="12.75">
      <c r="B499" s="1" t="e">
        <v>#REF!</v>
      </c>
      <c r="C499" s="3" t="e">
        <v>#REF!</v>
      </c>
      <c r="D499" s="1" t="str">
        <f ca="1"/>
        <v/>
      </c>
    </row>
    <row r="500" spans="2:4" ht="12.75">
      <c r="B500" s="1" t="e">
        <v>#REF!</v>
      </c>
      <c r="C500" s="3" t="e">
        <v>#REF!</v>
      </c>
      <c r="D500" s="1" t="str">
        <f ca="1"/>
        <v/>
      </c>
    </row>
    <row r="501" spans="2:4" ht="12.75">
      <c r="B501" s="1" t="e">
        <v>#REF!</v>
      </c>
      <c r="C501" s="3" t="e">
        <v>#REF!</v>
      </c>
      <c r="D501" s="1" t="str">
        <f ca="1"/>
        <v/>
      </c>
    </row>
    <row r="502" spans="2:4" ht="12.75">
      <c r="B502" s="1" t="e">
        <v>#REF!</v>
      </c>
      <c r="C502" s="3" t="e">
        <v>#REF!</v>
      </c>
      <c r="D502" s="1" t="str">
        <f ca="1"/>
        <v/>
      </c>
    </row>
    <row r="503" spans="2:4" ht="12.75">
      <c r="B503" s="1" t="e">
        <v>#REF!</v>
      </c>
      <c r="C503" s="3" t="e">
        <v>#REF!</v>
      </c>
      <c r="D503" s="1" t="str">
        <f ca="1"/>
        <v/>
      </c>
    </row>
    <row r="504" spans="2:4" ht="12.75">
      <c r="B504" s="1" t="e">
        <v>#REF!</v>
      </c>
      <c r="C504" s="3" t="e">
        <v>#REF!</v>
      </c>
      <c r="D504" s="1" t="str">
        <f ca="1"/>
        <v/>
      </c>
    </row>
    <row r="505" spans="2:4" ht="12.75">
      <c r="B505" s="1" t="e">
        <v>#REF!</v>
      </c>
      <c r="C505" s="3" t="e">
        <v>#REF!</v>
      </c>
      <c r="D505" s="1" t="str">
        <f ca="1"/>
        <v/>
      </c>
    </row>
    <row r="506" spans="2:4" ht="12.75">
      <c r="B506" s="1" t="e">
        <v>#REF!</v>
      </c>
      <c r="C506" s="3" t="e">
        <v>#REF!</v>
      </c>
      <c r="D506" s="1" t="str">
        <f ca="1"/>
        <v/>
      </c>
    </row>
    <row r="507" spans="2:4" ht="12.75">
      <c r="B507" s="1" t="e">
        <v>#REF!</v>
      </c>
      <c r="C507" s="3" t="e">
        <v>#REF!</v>
      </c>
      <c r="D507" s="1" t="str">
        <f ca="1"/>
        <v/>
      </c>
    </row>
    <row r="508" spans="2:4" ht="12.75">
      <c r="B508" s="1" t="e">
        <v>#REF!</v>
      </c>
      <c r="C508" s="3" t="e">
        <v>#REF!</v>
      </c>
      <c r="D508" s="1" t="str">
        <f ca="1"/>
        <v/>
      </c>
    </row>
    <row r="509" spans="2:4" ht="12.75">
      <c r="B509" s="1" t="e">
        <v>#REF!</v>
      </c>
      <c r="C509" s="3" t="e">
        <v>#REF!</v>
      </c>
      <c r="D509" s="1" t="str">
        <f ca="1"/>
        <v/>
      </c>
    </row>
    <row r="510" spans="2:4" ht="12.75">
      <c r="B510" s="1" t="e">
        <v>#REF!</v>
      </c>
      <c r="C510" s="3" t="e">
        <v>#REF!</v>
      </c>
      <c r="D510" s="1" t="str">
        <f ca="1"/>
        <v/>
      </c>
    </row>
    <row r="511" spans="2:4" ht="12.75">
      <c r="B511" s="1" t="e">
        <v>#REF!</v>
      </c>
      <c r="C511" s="3" t="e">
        <v>#REF!</v>
      </c>
      <c r="D511" s="1" t="str">
        <f ca="1"/>
        <v/>
      </c>
    </row>
    <row r="512" spans="2:4" ht="12.75">
      <c r="B512" s="1" t="e">
        <v>#REF!</v>
      </c>
      <c r="C512" s="3" t="e">
        <v>#REF!</v>
      </c>
      <c r="D512" s="1" t="str">
        <f ca="1"/>
        <v/>
      </c>
    </row>
    <row r="513" spans="2:4" ht="12.75">
      <c r="B513" s="1" t="e">
        <v>#REF!</v>
      </c>
      <c r="C513" s="3" t="e">
        <v>#REF!</v>
      </c>
      <c r="D513" s="1" t="str">
        <f ca="1"/>
        <v/>
      </c>
    </row>
    <row r="514" spans="2:4" ht="12.75">
      <c r="B514" s="1" t="e">
        <v>#REF!</v>
      </c>
      <c r="C514" s="3" t="e">
        <v>#REF!</v>
      </c>
      <c r="D514" s="1" t="str">
        <f ca="1"/>
        <v/>
      </c>
    </row>
    <row r="515" spans="2:4" ht="12.75">
      <c r="B515" s="1" t="e">
        <v>#REF!</v>
      </c>
      <c r="C515" s="3" t="e">
        <v>#REF!</v>
      </c>
      <c r="D515" s="1" t="str">
        <f ca="1"/>
        <v/>
      </c>
    </row>
    <row r="516" spans="2:4" ht="12.75">
      <c r="B516" s="1" t="e">
        <v>#REF!</v>
      </c>
      <c r="C516" s="3" t="e">
        <v>#REF!</v>
      </c>
      <c r="D516" s="1" t="str">
        <f ca="1"/>
        <v/>
      </c>
    </row>
    <row r="517" spans="2:4" ht="12.75">
      <c r="B517" s="1" t="e">
        <v>#REF!</v>
      </c>
      <c r="C517" s="3" t="e">
        <v>#REF!</v>
      </c>
      <c r="D517" s="1" t="str">
        <f ca="1"/>
        <v/>
      </c>
    </row>
    <row r="518" spans="2:4" ht="12.75">
      <c r="B518" s="1" t="e">
        <v>#REF!</v>
      </c>
      <c r="C518" s="3" t="e">
        <v>#REF!</v>
      </c>
      <c r="D518" s="1" t="str">
        <f ca="1"/>
        <v/>
      </c>
    </row>
    <row r="519" spans="2:4" ht="12.75">
      <c r="B519" s="1" t="e">
        <v>#REF!</v>
      </c>
      <c r="C519" s="3" t="e">
        <v>#REF!</v>
      </c>
      <c r="D519" s="1" t="str">
        <f ca="1"/>
        <v/>
      </c>
    </row>
    <row r="520" spans="2:4" ht="12.75">
      <c r="B520" s="1" t="e">
        <v>#REF!</v>
      </c>
      <c r="C520" s="3" t="e">
        <v>#REF!</v>
      </c>
      <c r="D520" s="1" t="str">
        <f ca="1"/>
        <v/>
      </c>
    </row>
    <row r="521" spans="2:4" ht="12.75">
      <c r="B521" s="1" t="e">
        <v>#REF!</v>
      </c>
      <c r="C521" s="3" t="e">
        <v>#REF!</v>
      </c>
      <c r="D521" s="1" t="str">
        <f ca="1"/>
        <v/>
      </c>
    </row>
    <row r="522" spans="2:4" ht="12.75">
      <c r="B522" s="1" t="e">
        <v>#REF!</v>
      </c>
      <c r="C522" s="3" t="e">
        <v>#REF!</v>
      </c>
      <c r="D522" s="1" t="str">
        <f ca="1"/>
        <v/>
      </c>
    </row>
    <row r="523" spans="2:4" ht="12.75">
      <c r="B523" s="1" t="e">
        <v>#REF!</v>
      </c>
      <c r="C523" s="3" t="e">
        <v>#REF!</v>
      </c>
      <c r="D523" s="1" t="str">
        <f ca="1"/>
        <v/>
      </c>
    </row>
    <row r="524" spans="2:4" ht="12.75">
      <c r="B524" s="1" t="e">
        <v>#REF!</v>
      </c>
      <c r="C524" s="3" t="e">
        <v>#REF!</v>
      </c>
      <c r="D524" s="1" t="str">
        <f ca="1"/>
        <v/>
      </c>
    </row>
    <row r="525" spans="2:4" ht="12.75">
      <c r="B525" s="1" t="e">
        <v>#REF!</v>
      </c>
      <c r="C525" s="3" t="e">
        <v>#REF!</v>
      </c>
      <c r="D525" s="1" t="str">
        <f ca="1"/>
        <v/>
      </c>
    </row>
    <row r="526" spans="2:4" ht="12.75">
      <c r="B526" s="1" t="e">
        <v>#REF!</v>
      </c>
      <c r="C526" s="3" t="e">
        <v>#REF!</v>
      </c>
      <c r="D526" s="1" t="str">
        <f ca="1"/>
        <v/>
      </c>
    </row>
    <row r="527" spans="2:4" ht="12.75">
      <c r="B527" s="1" t="e">
        <v>#REF!</v>
      </c>
      <c r="C527" s="3" t="e">
        <v>#REF!</v>
      </c>
      <c r="D527" s="1" t="str">
        <f ca="1"/>
        <v/>
      </c>
    </row>
    <row r="528" spans="2:4" ht="12.75">
      <c r="B528" s="1" t="e">
        <v>#REF!</v>
      </c>
      <c r="C528" s="3" t="e">
        <v>#REF!</v>
      </c>
      <c r="D528" s="1" t="str">
        <f ca="1"/>
        <v/>
      </c>
    </row>
    <row r="529" spans="2:4" ht="12.75">
      <c r="B529" s="1" t="e">
        <v>#REF!</v>
      </c>
      <c r="C529" s="3" t="e">
        <v>#REF!</v>
      </c>
      <c r="D529" s="1" t="str">
        <f ca="1"/>
        <v/>
      </c>
    </row>
    <row r="530" spans="2:4" ht="12.75">
      <c r="B530" s="1" t="e">
        <v>#REF!</v>
      </c>
      <c r="C530" s="3" t="e">
        <v>#REF!</v>
      </c>
      <c r="D530" s="1" t="str">
        <f ca="1"/>
        <v/>
      </c>
    </row>
    <row r="531" spans="2:4" ht="12.75">
      <c r="B531" s="1" t="e">
        <v>#REF!</v>
      </c>
      <c r="C531" s="3" t="e">
        <v>#REF!</v>
      </c>
      <c r="D531" s="1" t="str">
        <f ca="1"/>
        <v/>
      </c>
    </row>
    <row r="532" spans="2:4" ht="12.75">
      <c r="B532" s="1" t="e">
        <v>#REF!</v>
      </c>
      <c r="C532" s="3" t="e">
        <v>#REF!</v>
      </c>
      <c r="D532" s="1" t="str">
        <f ca="1"/>
        <v/>
      </c>
    </row>
    <row r="533" spans="2:4" ht="12.75">
      <c r="B533" s="1" t="e">
        <v>#REF!</v>
      </c>
      <c r="C533" s="3" t="e">
        <v>#REF!</v>
      </c>
      <c r="D533" s="1" t="str">
        <f ca="1"/>
        <v/>
      </c>
    </row>
    <row r="534" spans="2:4" ht="12.75">
      <c r="B534" s="1" t="e">
        <v>#REF!</v>
      </c>
      <c r="C534" s="3" t="e">
        <v>#REF!</v>
      </c>
      <c r="D534" s="1" t="str">
        <f ca="1"/>
        <v/>
      </c>
    </row>
    <row r="535" spans="2:4" ht="12.75">
      <c r="B535" s="1" t="e">
        <v>#REF!</v>
      </c>
      <c r="C535" s="3" t="e">
        <v>#REF!</v>
      </c>
      <c r="D535" s="1" t="str">
        <f ca="1"/>
        <v/>
      </c>
    </row>
    <row r="536" spans="2:4" ht="12.75">
      <c r="B536" s="1" t="e">
        <v>#REF!</v>
      </c>
      <c r="C536" s="3" t="e">
        <v>#REF!</v>
      </c>
      <c r="D536" s="1" t="str">
        <f ca="1"/>
        <v/>
      </c>
    </row>
    <row r="537" spans="2:4" ht="12.75">
      <c r="B537" s="1" t="e">
        <v>#REF!</v>
      </c>
      <c r="C537" s="3" t="e">
        <v>#REF!</v>
      </c>
      <c r="D537" s="1" t="str">
        <f ca="1"/>
        <v/>
      </c>
    </row>
    <row r="538" spans="2:4" ht="12.75">
      <c r="B538" s="1" t="e">
        <v>#REF!</v>
      </c>
      <c r="C538" s="3" t="e">
        <v>#REF!</v>
      </c>
      <c r="D538" s="1" t="str">
        <f ca="1"/>
        <v/>
      </c>
    </row>
    <row r="539" spans="2:4" ht="12.75">
      <c r="B539" s="1" t="e">
        <v>#REF!</v>
      </c>
      <c r="C539" s="3" t="e">
        <v>#REF!</v>
      </c>
      <c r="D539" s="1" t="str">
        <f ca="1"/>
        <v/>
      </c>
    </row>
    <row r="540" spans="2:4" ht="12.75">
      <c r="B540" s="1" t="e">
        <v>#REF!</v>
      </c>
      <c r="C540" s="3" t="e">
        <v>#REF!</v>
      </c>
      <c r="D540" s="1" t="str">
        <f ca="1"/>
        <v/>
      </c>
    </row>
    <row r="541" spans="2:4" ht="12.75">
      <c r="B541" s="1" t="e">
        <v>#REF!</v>
      </c>
      <c r="C541" s="3" t="e">
        <v>#REF!</v>
      </c>
      <c r="D541" s="1" t="str">
        <f ca="1"/>
        <v/>
      </c>
    </row>
    <row r="542" spans="2:4" ht="12.75">
      <c r="B542" s="1" t="e">
        <v>#REF!</v>
      </c>
      <c r="C542" s="3" t="e">
        <v>#REF!</v>
      </c>
      <c r="D542" s="1" t="str">
        <f ca="1"/>
        <v/>
      </c>
    </row>
    <row r="543" spans="2:4" ht="12.75">
      <c r="B543" s="1" t="e">
        <v>#REF!</v>
      </c>
      <c r="C543" s="3" t="e">
        <v>#REF!</v>
      </c>
      <c r="D543" s="1" t="str">
        <f ca="1"/>
        <v/>
      </c>
    </row>
    <row r="544" spans="2:4" ht="12.75">
      <c r="B544" s="1" t="e">
        <v>#REF!</v>
      </c>
      <c r="C544" s="3" t="e">
        <v>#REF!</v>
      </c>
      <c r="D544" s="1" t="str">
        <f ca="1"/>
        <v/>
      </c>
    </row>
    <row r="545" spans="2:4" ht="12.75">
      <c r="B545" s="1" t="e">
        <v>#REF!</v>
      </c>
      <c r="C545" s="3" t="e">
        <v>#REF!</v>
      </c>
      <c r="D545" s="1" t="str">
        <f ca="1"/>
        <v/>
      </c>
    </row>
    <row r="546" spans="2:4" ht="12.75">
      <c r="B546" s="1" t="e">
        <v>#REF!</v>
      </c>
      <c r="C546" s="3" t="e">
        <v>#REF!</v>
      </c>
      <c r="D546" s="1" t="str">
        <f ca="1"/>
        <v/>
      </c>
    </row>
    <row r="547" spans="2:4" ht="12.75">
      <c r="B547" s="1" t="e">
        <v>#REF!</v>
      </c>
      <c r="C547" s="3" t="e">
        <v>#REF!</v>
      </c>
      <c r="D547" s="1" t="str">
        <f ca="1"/>
        <v/>
      </c>
    </row>
    <row r="548" spans="2:4" ht="12.75">
      <c r="B548" s="1" t="e">
        <v>#REF!</v>
      </c>
      <c r="C548" s="3" t="e">
        <v>#REF!</v>
      </c>
      <c r="D548" s="1" t="str">
        <f ca="1"/>
        <v/>
      </c>
    </row>
    <row r="549" spans="2:4" ht="12.75">
      <c r="B549" s="1" t="e">
        <v>#REF!</v>
      </c>
      <c r="C549" s="3" t="e">
        <v>#REF!</v>
      </c>
      <c r="D549" s="1" t="str">
        <f ca="1"/>
        <v/>
      </c>
    </row>
    <row r="550" spans="2:4" ht="12.75">
      <c r="B550" s="1" t="e">
        <v>#REF!</v>
      </c>
      <c r="C550" s="3" t="e">
        <v>#REF!</v>
      </c>
      <c r="D550" s="1" t="str">
        <f ca="1"/>
        <v/>
      </c>
    </row>
    <row r="551" spans="2:4" ht="12.75">
      <c r="B551" s="1" t="e">
        <v>#REF!</v>
      </c>
      <c r="C551" s="3" t="e">
        <v>#REF!</v>
      </c>
      <c r="D551" s="1" t="str">
        <f ca="1"/>
        <v/>
      </c>
    </row>
    <row r="552" spans="2:4" ht="12.75">
      <c r="B552" s="1" t="e">
        <v>#REF!</v>
      </c>
      <c r="C552" s="3" t="e">
        <v>#REF!</v>
      </c>
      <c r="D552" s="1" t="str">
        <f ca="1"/>
        <v/>
      </c>
    </row>
    <row r="553" spans="2:4" ht="12.75">
      <c r="B553" s="1" t="e">
        <v>#REF!</v>
      </c>
      <c r="C553" s="3" t="e">
        <v>#REF!</v>
      </c>
      <c r="D553" s="1" t="str">
        <f ca="1"/>
        <v/>
      </c>
    </row>
    <row r="554" spans="2:4" ht="12.75">
      <c r="B554" s="1" t="e">
        <v>#REF!</v>
      </c>
      <c r="C554" s="3" t="e">
        <v>#REF!</v>
      </c>
      <c r="D554" s="1" t="str">
        <f ca="1"/>
        <v/>
      </c>
    </row>
    <row r="555" spans="2:4" ht="12.75">
      <c r="B555" s="1" t="e">
        <v>#REF!</v>
      </c>
      <c r="C555" s="3" t="e">
        <v>#REF!</v>
      </c>
      <c r="D555" s="1" t="str">
        <f ca="1"/>
        <v/>
      </c>
    </row>
    <row r="556" spans="2:4" ht="12.75">
      <c r="B556" s="1" t="e">
        <v>#REF!</v>
      </c>
      <c r="C556" s="3" t="e">
        <v>#REF!</v>
      </c>
      <c r="D556" s="1" t="str">
        <f ca="1"/>
        <v/>
      </c>
    </row>
    <row r="557" spans="2:4" ht="12.75">
      <c r="B557" s="1" t="e">
        <v>#REF!</v>
      </c>
      <c r="C557" s="3" t="e">
        <v>#REF!</v>
      </c>
      <c r="D557" s="1" t="str">
        <f ca="1"/>
        <v/>
      </c>
    </row>
    <row r="558" spans="2:4" ht="12.75">
      <c r="B558" s="1" t="e">
        <v>#REF!</v>
      </c>
      <c r="C558" s="3" t="e">
        <v>#REF!</v>
      </c>
      <c r="D558" s="1" t="str">
        <f ca="1"/>
        <v/>
      </c>
    </row>
    <row r="559" spans="2:4" ht="12.75">
      <c r="B559" s="1" t="e">
        <v>#REF!</v>
      </c>
      <c r="C559" s="3" t="e">
        <v>#REF!</v>
      </c>
      <c r="D559" s="1" t="str">
        <f ca="1"/>
        <v/>
      </c>
    </row>
    <row r="560" spans="2:4" ht="12.75">
      <c r="B560" s="1" t="e">
        <v>#REF!</v>
      </c>
      <c r="C560" s="3" t="e">
        <v>#REF!</v>
      </c>
      <c r="D560" s="1" t="str">
        <f ca="1"/>
        <v/>
      </c>
    </row>
    <row r="561" spans="2:4" ht="12.75">
      <c r="B561" s="1" t="e">
        <v>#REF!</v>
      </c>
      <c r="C561" s="3" t="e">
        <v>#REF!</v>
      </c>
      <c r="D561" s="1" t="str">
        <f ca="1"/>
        <v/>
      </c>
    </row>
    <row r="562" spans="2:4" ht="12.75">
      <c r="B562" s="1" t="e">
        <v>#REF!</v>
      </c>
      <c r="C562" s="3" t="e">
        <v>#REF!</v>
      </c>
      <c r="D562" s="1" t="str">
        <f ca="1"/>
        <v/>
      </c>
    </row>
    <row r="563" spans="2:4" ht="12.75">
      <c r="B563" s="1" t="e">
        <v>#REF!</v>
      </c>
      <c r="C563" s="3" t="e">
        <v>#REF!</v>
      </c>
      <c r="D563" s="1" t="str">
        <f ca="1"/>
        <v/>
      </c>
    </row>
    <row r="564" spans="2:4" ht="12.75">
      <c r="B564" s="1" t="e">
        <v>#REF!</v>
      </c>
      <c r="C564" s="3" t="e">
        <v>#REF!</v>
      </c>
      <c r="D564" s="1" t="str">
        <f ca="1"/>
        <v/>
      </c>
    </row>
    <row r="565" spans="2:4" ht="12.75">
      <c r="B565" s="1" t="e">
        <v>#REF!</v>
      </c>
      <c r="C565" s="3" t="e">
        <v>#REF!</v>
      </c>
      <c r="D565" s="1" t="str">
        <f ca="1"/>
        <v/>
      </c>
    </row>
    <row r="566" spans="2:4" ht="12.75">
      <c r="B566" s="1" t="e">
        <v>#REF!</v>
      </c>
      <c r="C566" s="3" t="e">
        <v>#REF!</v>
      </c>
      <c r="D566" s="1" t="str">
        <f ca="1"/>
        <v/>
      </c>
    </row>
    <row r="567" spans="2:4" ht="12.75">
      <c r="B567" s="1" t="e">
        <v>#REF!</v>
      </c>
      <c r="C567" s="3" t="e">
        <v>#REF!</v>
      </c>
      <c r="D567" s="1" t="str">
        <f ca="1"/>
        <v/>
      </c>
    </row>
    <row r="568" spans="2:4" ht="12.75">
      <c r="B568" s="1" t="e">
        <v>#REF!</v>
      </c>
      <c r="C568" s="3" t="e">
        <v>#REF!</v>
      </c>
      <c r="D568" s="1" t="str">
        <f ca="1"/>
        <v/>
      </c>
    </row>
    <row r="569" spans="2:4" ht="12.75">
      <c r="B569" s="1" t="e">
        <v>#REF!</v>
      </c>
      <c r="C569" s="3" t="e">
        <v>#REF!</v>
      </c>
      <c r="D569" s="1" t="str">
        <f ca="1"/>
        <v/>
      </c>
    </row>
    <row r="570" spans="2:4" ht="12.75">
      <c r="B570" s="1" t="e">
        <v>#REF!</v>
      </c>
      <c r="C570" s="3" t="e">
        <v>#REF!</v>
      </c>
      <c r="D570" s="1" t="str">
        <f ca="1"/>
        <v/>
      </c>
    </row>
    <row r="571" spans="2:4" ht="12.75">
      <c r="B571" s="1" t="e">
        <v>#REF!</v>
      </c>
      <c r="C571" s="3" t="e">
        <v>#REF!</v>
      </c>
      <c r="D571" s="1" t="str">
        <f ca="1"/>
        <v/>
      </c>
    </row>
    <row r="572" spans="2:4" ht="12.75">
      <c r="B572" s="1" t="e">
        <v>#REF!</v>
      </c>
      <c r="C572" s="3" t="e">
        <v>#REF!</v>
      </c>
      <c r="D572" s="1" t="str">
        <f ca="1"/>
        <v/>
      </c>
    </row>
    <row r="573" spans="2:4" ht="12.75">
      <c r="B573" s="1" t="e">
        <v>#REF!</v>
      </c>
      <c r="C573" s="3" t="e">
        <v>#REF!</v>
      </c>
      <c r="D573" s="1" t="str">
        <f ca="1"/>
        <v/>
      </c>
    </row>
    <row r="574" spans="2:4" ht="12.75">
      <c r="B574" s="1" t="e">
        <v>#REF!</v>
      </c>
      <c r="C574" s="3" t="e">
        <v>#REF!</v>
      </c>
      <c r="D574" s="1" t="str">
        <f ca="1"/>
        <v/>
      </c>
    </row>
    <row r="575" spans="2:4" ht="12.75">
      <c r="B575" s="1" t="e">
        <v>#REF!</v>
      </c>
      <c r="C575" s="3" t="e">
        <v>#REF!</v>
      </c>
      <c r="D575" s="1" t="str">
        <f ca="1"/>
        <v/>
      </c>
    </row>
    <row r="576" spans="2:4" ht="12.75">
      <c r="B576" s="1" t="e">
        <v>#REF!</v>
      </c>
      <c r="C576" s="3" t="e">
        <v>#REF!</v>
      </c>
      <c r="D576" s="1" t="str">
        <f ca="1"/>
        <v/>
      </c>
    </row>
    <row r="577" spans="2:4" ht="12.75">
      <c r="B577" s="1" t="e">
        <v>#REF!</v>
      </c>
      <c r="C577" s="3" t="e">
        <v>#REF!</v>
      </c>
      <c r="D577" s="1" t="str">
        <f ca="1"/>
        <v/>
      </c>
    </row>
    <row r="578" spans="2:4" ht="12.75">
      <c r="B578" s="1" t="e">
        <v>#REF!</v>
      </c>
      <c r="C578" s="3" t="e">
        <v>#REF!</v>
      </c>
      <c r="D578" s="1" t="str">
        <f ca="1"/>
        <v/>
      </c>
    </row>
    <row r="579" spans="2:4" ht="12.75">
      <c r="B579" s="1" t="e">
        <v>#REF!</v>
      </c>
      <c r="C579" s="3" t="e">
        <v>#REF!</v>
      </c>
      <c r="D579" s="1" t="str">
        <f ca="1"/>
        <v/>
      </c>
    </row>
    <row r="580" spans="2:4" ht="12.75">
      <c r="B580" s="1" t="e">
        <v>#REF!</v>
      </c>
      <c r="C580" s="3" t="e">
        <v>#REF!</v>
      </c>
      <c r="D580" s="1" t="str">
        <f ca="1"/>
        <v/>
      </c>
    </row>
    <row r="581" spans="2:4" ht="12.75">
      <c r="B581" s="1" t="e">
        <v>#REF!</v>
      </c>
      <c r="C581" s="3" t="e">
        <v>#REF!</v>
      </c>
      <c r="D581" s="1" t="str">
        <f ca="1"/>
        <v/>
      </c>
    </row>
    <row r="582" spans="2:4" ht="12.75">
      <c r="B582" s="1" t="e">
        <v>#REF!</v>
      </c>
      <c r="C582" s="3" t="e">
        <v>#REF!</v>
      </c>
      <c r="D582" s="1" t="str">
        <f ca="1"/>
        <v/>
      </c>
    </row>
    <row r="583" spans="2:4" ht="12.75">
      <c r="B583" s="1" t="e">
        <v>#REF!</v>
      </c>
      <c r="C583" s="3" t="e">
        <v>#REF!</v>
      </c>
      <c r="D583" s="1" t="str">
        <f ca="1"/>
        <v/>
      </c>
    </row>
    <row r="584" spans="2:4" ht="12.75">
      <c r="B584" s="1" t="e">
        <v>#REF!</v>
      </c>
      <c r="C584" s="3" t="e">
        <v>#REF!</v>
      </c>
      <c r="D584" s="1" t="str">
        <f ca="1"/>
        <v/>
      </c>
    </row>
    <row r="585" spans="2:4" ht="12.75">
      <c r="B585" s="1" t="e">
        <v>#REF!</v>
      </c>
      <c r="C585" s="3" t="e">
        <v>#REF!</v>
      </c>
      <c r="D585" s="1" t="str">
        <f ca="1"/>
        <v/>
      </c>
    </row>
    <row r="586" spans="2:4" ht="12.75">
      <c r="B586" s="1" t="e">
        <v>#REF!</v>
      </c>
      <c r="C586" s="3" t="e">
        <v>#REF!</v>
      </c>
      <c r="D586" s="1" t="str">
        <f ca="1"/>
        <v/>
      </c>
    </row>
    <row r="587" spans="2:4" ht="12.75">
      <c r="B587" s="1" t="e">
        <v>#REF!</v>
      </c>
      <c r="C587" s="3" t="e">
        <v>#REF!</v>
      </c>
      <c r="D587" s="1" t="str">
        <f ca="1"/>
        <v/>
      </c>
    </row>
    <row r="588" spans="2:4" ht="12.75">
      <c r="B588" s="1" t="e">
        <v>#REF!</v>
      </c>
      <c r="C588" s="3" t="e">
        <v>#REF!</v>
      </c>
      <c r="D588" s="1" t="str">
        <f ca="1"/>
        <v/>
      </c>
    </row>
    <row r="589" spans="2:4" ht="12.75">
      <c r="B589" s="1" t="e">
        <v>#REF!</v>
      </c>
      <c r="C589" s="3" t="e">
        <v>#REF!</v>
      </c>
      <c r="D589" s="1" t="str">
        <f ca="1"/>
        <v/>
      </c>
    </row>
    <row r="590" spans="2:4" ht="12.75">
      <c r="B590" s="1" t="e">
        <v>#REF!</v>
      </c>
      <c r="C590" s="3" t="e">
        <v>#REF!</v>
      </c>
      <c r="D590" s="1" t="str">
        <f ca="1"/>
        <v/>
      </c>
    </row>
    <row r="591" spans="2:4" ht="12.75">
      <c r="B591" s="1" t="e">
        <v>#REF!</v>
      </c>
      <c r="C591" s="3" t="e">
        <v>#REF!</v>
      </c>
      <c r="D591" s="1" t="str">
        <f ca="1"/>
        <v/>
      </c>
    </row>
    <row r="592" spans="2:4" ht="12.75">
      <c r="B592" s="1" t="e">
        <v>#REF!</v>
      </c>
      <c r="C592" s="3" t="e">
        <v>#REF!</v>
      </c>
      <c r="D592" s="1" t="str">
        <f ca="1"/>
        <v/>
      </c>
    </row>
    <row r="593" spans="2:4" ht="12.75">
      <c r="B593" s="1" t="e">
        <v>#REF!</v>
      </c>
      <c r="C593" s="3" t="e">
        <v>#REF!</v>
      </c>
      <c r="D593" s="1" t="str">
        <f ca="1"/>
        <v/>
      </c>
    </row>
    <row r="594" spans="2:4" ht="12.75">
      <c r="B594" s="1" t="e">
        <v>#REF!</v>
      </c>
      <c r="C594" s="3" t="e">
        <v>#REF!</v>
      </c>
      <c r="D594" s="1" t="str">
        <f ca="1"/>
        <v/>
      </c>
    </row>
    <row r="595" spans="2:4" ht="12.75">
      <c r="B595" s="1" t="e">
        <v>#REF!</v>
      </c>
      <c r="C595" s="3" t="e">
        <v>#REF!</v>
      </c>
      <c r="D595" s="1" t="str">
        <f ca="1"/>
        <v/>
      </c>
    </row>
    <row r="596" spans="2:4" ht="12.75">
      <c r="B596" s="1" t="e">
        <v>#REF!</v>
      </c>
      <c r="C596" s="3" t="e">
        <v>#REF!</v>
      </c>
      <c r="D596" s="1" t="str">
        <f ca="1"/>
        <v/>
      </c>
    </row>
    <row r="597" spans="2:4" ht="12.75">
      <c r="B597" s="1" t="e">
        <v>#REF!</v>
      </c>
      <c r="C597" s="3" t="e">
        <v>#REF!</v>
      </c>
      <c r="D597" s="1" t="str">
        <f ca="1"/>
        <v/>
      </c>
    </row>
    <row r="598" spans="2:4" ht="12.75">
      <c r="B598" s="1" t="e">
        <v>#REF!</v>
      </c>
      <c r="C598" s="3" t="e">
        <v>#REF!</v>
      </c>
      <c r="D598" s="1" t="str">
        <f ca="1"/>
        <v/>
      </c>
    </row>
    <row r="599" spans="2:4" ht="12.75">
      <c r="B599" s="1" t="e">
        <v>#REF!</v>
      </c>
      <c r="C599" s="3" t="e">
        <v>#REF!</v>
      </c>
      <c r="D599" s="1" t="str">
        <f ca="1"/>
        <v/>
      </c>
    </row>
    <row r="600" spans="2:4" ht="12.75">
      <c r="B600" s="1" t="e">
        <v>#REF!</v>
      </c>
      <c r="C600" s="3" t="e">
        <v>#REF!</v>
      </c>
      <c r="D600" s="1" t="str">
        <f ca="1"/>
        <v/>
      </c>
    </row>
    <row r="601" spans="2:4" ht="12.75">
      <c r="B601" s="1" t="e">
        <v>#REF!</v>
      </c>
      <c r="C601" s="3" t="e">
        <v>#REF!</v>
      </c>
      <c r="D601" s="1" t="str">
        <f ca="1"/>
        <v/>
      </c>
    </row>
    <row r="602" spans="2:4" ht="12.75">
      <c r="B602" s="1" t="e">
        <v>#REF!</v>
      </c>
      <c r="C602" s="3" t="e">
        <v>#REF!</v>
      </c>
      <c r="D602" s="1" t="str">
        <f ca="1"/>
        <v/>
      </c>
    </row>
    <row r="603" spans="2:4" ht="12.75">
      <c r="B603" s="1" t="e">
        <v>#REF!</v>
      </c>
      <c r="C603" s="3" t="e">
        <v>#REF!</v>
      </c>
      <c r="D603" s="1" t="str">
        <f ca="1"/>
        <v/>
      </c>
    </row>
    <row r="604" spans="2:4" ht="12.75">
      <c r="B604" s="1" t="e">
        <v>#REF!</v>
      </c>
      <c r="C604" s="3" t="e">
        <v>#REF!</v>
      </c>
      <c r="D604" s="1" t="str">
        <f ca="1"/>
        <v/>
      </c>
    </row>
    <row r="605" spans="2:4" ht="12.75">
      <c r="B605" s="1" t="e">
        <v>#REF!</v>
      </c>
      <c r="C605" s="3" t="e">
        <v>#REF!</v>
      </c>
      <c r="D605" s="1" t="str">
        <f ca="1"/>
        <v/>
      </c>
    </row>
    <row r="606" spans="2:4" ht="12.75">
      <c r="B606" s="1" t="e">
        <v>#REF!</v>
      </c>
      <c r="C606" s="3" t="e">
        <v>#REF!</v>
      </c>
      <c r="D606" s="1" t="str">
        <f ca="1"/>
        <v/>
      </c>
    </row>
    <row r="607" spans="2:4" ht="12.75">
      <c r="B607" s="1" t="e">
        <v>#REF!</v>
      </c>
      <c r="C607" s="3" t="e">
        <v>#REF!</v>
      </c>
      <c r="D607" s="1" t="str">
        <f ca="1"/>
        <v/>
      </c>
    </row>
    <row r="608" spans="2:4" ht="12.75">
      <c r="B608" s="1" t="e">
        <v>#REF!</v>
      </c>
      <c r="C608" s="3" t="e">
        <v>#REF!</v>
      </c>
      <c r="D608" s="1" t="str">
        <f ca="1"/>
        <v/>
      </c>
    </row>
    <row r="609" spans="2:4" ht="12.75">
      <c r="B609" s="1" t="e">
        <v>#REF!</v>
      </c>
      <c r="C609" s="3" t="e">
        <v>#REF!</v>
      </c>
      <c r="D609" s="1" t="str">
        <f ca="1"/>
        <v/>
      </c>
    </row>
    <row r="610" spans="2:4" ht="12.75">
      <c r="B610" s="1" t="e">
        <v>#REF!</v>
      </c>
      <c r="C610" s="3" t="e">
        <v>#REF!</v>
      </c>
      <c r="D610" s="1" t="str">
        <f ca="1"/>
        <v/>
      </c>
    </row>
    <row r="611" spans="2:4" ht="12.75">
      <c r="B611" s="1" t="e">
        <v>#REF!</v>
      </c>
      <c r="C611" s="3" t="e">
        <v>#REF!</v>
      </c>
      <c r="D611" s="1" t="str">
        <f ca="1"/>
        <v/>
      </c>
    </row>
    <row r="612" spans="2:4" ht="12.75">
      <c r="B612" s="1" t="e">
        <v>#REF!</v>
      </c>
      <c r="C612" s="3" t="e">
        <v>#REF!</v>
      </c>
      <c r="D612" s="1" t="str">
        <f ca="1"/>
        <v/>
      </c>
    </row>
    <row r="613" spans="2:4" ht="12.75">
      <c r="B613" s="1" t="e">
        <v>#REF!</v>
      </c>
      <c r="C613" s="3" t="e">
        <v>#REF!</v>
      </c>
      <c r="D613" s="1" t="str">
        <f ca="1"/>
        <v/>
      </c>
    </row>
    <row r="614" spans="2:4" ht="12.75">
      <c r="B614" s="1" t="e">
        <v>#REF!</v>
      </c>
      <c r="C614" s="3" t="e">
        <v>#REF!</v>
      </c>
      <c r="D614" s="1" t="str">
        <f ca="1"/>
        <v/>
      </c>
    </row>
    <row r="615" spans="2:4" ht="12.75">
      <c r="B615" s="1" t="e">
        <v>#REF!</v>
      </c>
      <c r="C615" s="3" t="e">
        <v>#REF!</v>
      </c>
      <c r="D615" s="1" t="str">
        <f ca="1"/>
        <v/>
      </c>
    </row>
    <row r="616" spans="2:4" ht="12.75">
      <c r="B616" s="1" t="e">
        <v>#REF!</v>
      </c>
      <c r="C616" s="3" t="e">
        <v>#REF!</v>
      </c>
      <c r="D616" s="1" t="str">
        <f ca="1"/>
        <v/>
      </c>
    </row>
    <row r="617" spans="2:4" ht="12.75">
      <c r="B617" s="1" t="e">
        <v>#REF!</v>
      </c>
      <c r="C617" s="3" t="e">
        <v>#REF!</v>
      </c>
      <c r="D617" s="1" t="str">
        <f ca="1"/>
        <v/>
      </c>
    </row>
    <row r="618" spans="2:4" ht="12.75">
      <c r="B618" s="1" t="e">
        <v>#REF!</v>
      </c>
      <c r="C618" s="3" t="e">
        <v>#REF!</v>
      </c>
      <c r="D618" s="1" t="str">
        <f ca="1"/>
        <v/>
      </c>
    </row>
    <row r="619" spans="2:4" ht="12.75">
      <c r="B619" s="1" t="e">
        <v>#REF!</v>
      </c>
      <c r="C619" s="3" t="e">
        <v>#REF!</v>
      </c>
      <c r="D619" s="1" t="str">
        <f ca="1"/>
        <v/>
      </c>
    </row>
    <row r="620" spans="2:4" ht="12.75">
      <c r="B620" s="1" t="e">
        <v>#REF!</v>
      </c>
      <c r="C620" s="3" t="e">
        <v>#REF!</v>
      </c>
      <c r="D620" s="1" t="str">
        <f ca="1"/>
        <v/>
      </c>
    </row>
    <row r="621" spans="2:4" ht="12.75">
      <c r="B621" s="1" t="e">
        <v>#REF!</v>
      </c>
      <c r="C621" s="3" t="e">
        <v>#REF!</v>
      </c>
      <c r="D621" s="1" t="str">
        <f ca="1"/>
        <v/>
      </c>
    </row>
    <row r="622" spans="2:4" ht="12.75">
      <c r="B622" s="1" t="e">
        <v>#REF!</v>
      </c>
      <c r="C622" s="3" t="e">
        <v>#REF!</v>
      </c>
      <c r="D622" s="1" t="str">
        <f ca="1"/>
        <v/>
      </c>
    </row>
    <row r="623" spans="2:4" ht="12.75">
      <c r="B623" s="1" t="e">
        <v>#REF!</v>
      </c>
      <c r="C623" s="3" t="e">
        <v>#REF!</v>
      </c>
      <c r="D623" s="1" t="str">
        <f ca="1"/>
        <v/>
      </c>
    </row>
    <row r="624" spans="2:4" ht="12.75">
      <c r="B624" s="1" t="e">
        <v>#REF!</v>
      </c>
      <c r="C624" s="3" t="e">
        <v>#REF!</v>
      </c>
      <c r="D624" s="1" t="str">
        <f ca="1"/>
        <v/>
      </c>
    </row>
    <row r="625" spans="2:4" ht="12.75">
      <c r="B625" s="1" t="e">
        <v>#REF!</v>
      </c>
      <c r="C625" s="3" t="e">
        <v>#REF!</v>
      </c>
      <c r="D625" s="1" t="str">
        <f ca="1"/>
        <v/>
      </c>
    </row>
    <row r="626" spans="2:4" ht="12.75">
      <c r="B626" s="1" t="e">
        <v>#REF!</v>
      </c>
      <c r="C626" s="3" t="e">
        <v>#REF!</v>
      </c>
      <c r="D626" s="1" t="str">
        <f ca="1"/>
        <v/>
      </c>
    </row>
    <row r="627" spans="2:4" ht="12.75">
      <c r="B627" s="1" t="e">
        <v>#REF!</v>
      </c>
      <c r="C627" s="3" t="e">
        <v>#REF!</v>
      </c>
      <c r="D627" s="1" t="str">
        <f ca="1"/>
        <v/>
      </c>
    </row>
    <row r="628" spans="2:4" ht="12.75">
      <c r="B628" s="1" t="e">
        <v>#REF!</v>
      </c>
      <c r="C628" s="3" t="e">
        <v>#REF!</v>
      </c>
      <c r="D628" s="1" t="str">
        <f ca="1"/>
        <v/>
      </c>
    </row>
    <row r="629" spans="2:4" ht="12.75">
      <c r="B629" s="1" t="e">
        <v>#REF!</v>
      </c>
      <c r="C629" s="3" t="e">
        <v>#REF!</v>
      </c>
      <c r="D629" s="1" t="str">
        <f ca="1"/>
        <v/>
      </c>
    </row>
    <row r="630" spans="2:4" ht="12.75">
      <c r="B630" s="1" t="e">
        <v>#REF!</v>
      </c>
      <c r="C630" s="3" t="e">
        <v>#REF!</v>
      </c>
      <c r="D630" s="1" t="str">
        <f ca="1"/>
        <v/>
      </c>
    </row>
    <row r="631" spans="2:4" ht="12.75">
      <c r="B631" s="1" t="e">
        <v>#REF!</v>
      </c>
      <c r="C631" s="3" t="e">
        <v>#REF!</v>
      </c>
      <c r="D631" s="1" t="str">
        <f ca="1"/>
        <v/>
      </c>
    </row>
    <row r="632" spans="2:4" ht="12.75">
      <c r="B632" s="1" t="e">
        <v>#REF!</v>
      </c>
      <c r="C632" s="3" t="e">
        <v>#REF!</v>
      </c>
      <c r="D632" s="1" t="str">
        <f ca="1"/>
        <v/>
      </c>
    </row>
    <row r="633" spans="2:4" ht="12.75">
      <c r="B633" s="1" t="e">
        <v>#REF!</v>
      </c>
      <c r="C633" s="3" t="e">
        <v>#REF!</v>
      </c>
      <c r="D633" s="1" t="str">
        <f ca="1"/>
        <v/>
      </c>
    </row>
    <row r="634" spans="2:4" ht="12.75">
      <c r="B634" s="1" t="e">
        <v>#REF!</v>
      </c>
      <c r="C634" s="3" t="e">
        <v>#REF!</v>
      </c>
      <c r="D634" s="1" t="str">
        <f ca="1"/>
        <v/>
      </c>
    </row>
    <row r="635" spans="2:4" ht="12.75">
      <c r="B635" s="1" t="e">
        <v>#REF!</v>
      </c>
      <c r="C635" s="3" t="e">
        <v>#REF!</v>
      </c>
      <c r="D635" s="1" t="str">
        <f ca="1"/>
        <v/>
      </c>
    </row>
    <row r="636" spans="2:4" ht="12.75">
      <c r="B636" s="1" t="e">
        <v>#REF!</v>
      </c>
      <c r="C636" s="3" t="e">
        <v>#REF!</v>
      </c>
      <c r="D636" s="1" t="str">
        <f ca="1"/>
        <v/>
      </c>
    </row>
    <row r="637" spans="2:4" ht="12.75">
      <c r="B637" s="1" t="e">
        <v>#REF!</v>
      </c>
      <c r="C637" s="3" t="e">
        <v>#REF!</v>
      </c>
      <c r="D637" s="1" t="str">
        <f ca="1"/>
        <v/>
      </c>
    </row>
    <row r="638" spans="2:4" ht="12.75">
      <c r="B638" s="1" t="e">
        <v>#REF!</v>
      </c>
      <c r="C638" s="3" t="e">
        <v>#REF!</v>
      </c>
      <c r="D638" s="1" t="str">
        <f ca="1"/>
        <v/>
      </c>
    </row>
    <row r="639" spans="2:4" ht="12.75">
      <c r="B639" s="1" t="e">
        <v>#REF!</v>
      </c>
      <c r="C639" s="3" t="e">
        <v>#REF!</v>
      </c>
      <c r="D639" s="1" t="str">
        <f ca="1"/>
        <v/>
      </c>
    </row>
    <row r="640" spans="2:4" ht="12.75">
      <c r="B640" s="1" t="e">
        <v>#REF!</v>
      </c>
      <c r="C640" s="3" t="e">
        <v>#REF!</v>
      </c>
      <c r="D640" s="1" t="str">
        <f ca="1"/>
        <v/>
      </c>
    </row>
    <row r="641" spans="2:4" ht="12.75">
      <c r="B641" s="1" t="e">
        <v>#REF!</v>
      </c>
      <c r="C641" s="3" t="e">
        <v>#REF!</v>
      </c>
      <c r="D641" s="1" t="str">
        <f ca="1"/>
        <v/>
      </c>
    </row>
    <row r="642" spans="2:4" ht="12.75">
      <c r="B642" s="1" t="e">
        <v>#REF!</v>
      </c>
      <c r="C642" s="3" t="e">
        <v>#REF!</v>
      </c>
      <c r="D642" s="1" t="str">
        <f ca="1"/>
        <v/>
      </c>
    </row>
    <row r="643" spans="2:4" ht="12.75">
      <c r="B643" s="1" t="e">
        <v>#REF!</v>
      </c>
      <c r="C643" s="3" t="e">
        <v>#REF!</v>
      </c>
      <c r="D643" s="1" t="str">
        <f ca="1"/>
        <v/>
      </c>
    </row>
    <row r="644" spans="2:4" ht="12.75">
      <c r="B644" s="1" t="e">
        <v>#REF!</v>
      </c>
      <c r="C644" s="3" t="e">
        <v>#REF!</v>
      </c>
      <c r="D644" s="1" t="str">
        <f ca="1"/>
        <v/>
      </c>
    </row>
    <row r="645" spans="2:4" ht="12.75">
      <c r="B645" s="1" t="e">
        <v>#REF!</v>
      </c>
      <c r="C645" s="3" t="e">
        <v>#REF!</v>
      </c>
      <c r="D645" s="1" t="str">
        <f ca="1"/>
        <v/>
      </c>
    </row>
    <row r="646" spans="2:4" ht="12.75">
      <c r="B646" s="1" t="e">
        <v>#REF!</v>
      </c>
      <c r="C646" s="3" t="e">
        <v>#REF!</v>
      </c>
      <c r="D646" s="1" t="str">
        <f ca="1"/>
        <v/>
      </c>
    </row>
    <row r="647" spans="2:4" ht="12.75">
      <c r="B647" s="1" t="e">
        <v>#REF!</v>
      </c>
      <c r="C647" s="3" t="e">
        <v>#REF!</v>
      </c>
      <c r="D647" s="1" t="str">
        <f ca="1"/>
        <v/>
      </c>
    </row>
    <row r="648" spans="2:4" ht="12.75">
      <c r="B648" s="1" t="e">
        <v>#REF!</v>
      </c>
      <c r="C648" s="3" t="e">
        <v>#REF!</v>
      </c>
      <c r="D648" s="1" t="str">
        <f ca="1"/>
        <v/>
      </c>
    </row>
    <row r="649" spans="2:4" ht="12.75">
      <c r="B649" s="1" t="e">
        <v>#REF!</v>
      </c>
      <c r="C649" s="3" t="e">
        <v>#REF!</v>
      </c>
      <c r="D649" s="1" t="str">
        <f ca="1"/>
        <v/>
      </c>
    </row>
    <row r="650" spans="2:4" ht="12.75">
      <c r="B650" s="1" t="e">
        <v>#REF!</v>
      </c>
      <c r="C650" s="3" t="e">
        <v>#REF!</v>
      </c>
      <c r="D650" s="1" t="str">
        <f ca="1"/>
        <v/>
      </c>
    </row>
    <row r="651" spans="2:4" ht="12.75">
      <c r="B651" s="1" t="e">
        <v>#REF!</v>
      </c>
      <c r="C651" s="3" t="e">
        <v>#REF!</v>
      </c>
      <c r="D651" s="1" t="str">
        <f ca="1"/>
        <v/>
      </c>
    </row>
    <row r="652" spans="2:4" ht="12.75">
      <c r="B652" s="1" t="e">
        <v>#REF!</v>
      </c>
      <c r="C652" s="3" t="e">
        <v>#REF!</v>
      </c>
      <c r="D652" s="1" t="str">
        <f ca="1"/>
        <v/>
      </c>
    </row>
    <row r="653" spans="2:4" ht="12.75">
      <c r="B653" s="1" t="e">
        <v>#REF!</v>
      </c>
      <c r="C653" s="3" t="e">
        <v>#REF!</v>
      </c>
      <c r="D653" s="1" t="str">
        <f ca="1"/>
        <v/>
      </c>
    </row>
    <row r="654" spans="2:4" ht="12.75">
      <c r="B654" s="1" t="e">
        <v>#REF!</v>
      </c>
      <c r="C654" s="3" t="e">
        <v>#REF!</v>
      </c>
      <c r="D654" s="1" t="str">
        <f ca="1"/>
        <v/>
      </c>
    </row>
    <row r="655" spans="2:4" ht="12.75">
      <c r="B655" s="1" t="e">
        <v>#REF!</v>
      </c>
      <c r="C655" s="3" t="e">
        <v>#REF!</v>
      </c>
      <c r="D655" s="1" t="str">
        <f ca="1"/>
        <v/>
      </c>
    </row>
    <row r="656" spans="2:4" ht="12.75">
      <c r="B656" s="1" t="e">
        <v>#REF!</v>
      </c>
      <c r="C656" s="3" t="e">
        <v>#REF!</v>
      </c>
      <c r="D656" s="1" t="str">
        <f ca="1"/>
        <v/>
      </c>
    </row>
    <row r="657" spans="2:4" ht="12.75">
      <c r="B657" s="1" t="e">
        <v>#REF!</v>
      </c>
      <c r="C657" s="3" t="e">
        <v>#REF!</v>
      </c>
      <c r="D657" s="1" t="str">
        <f ca="1"/>
        <v/>
      </c>
    </row>
    <row r="658" spans="2:4" ht="12.75">
      <c r="B658" s="1" t="e">
        <v>#REF!</v>
      </c>
      <c r="C658" s="3" t="e">
        <v>#REF!</v>
      </c>
      <c r="D658" s="1" t="str">
        <f ca="1"/>
        <v/>
      </c>
    </row>
    <row r="659" spans="2:4" ht="12.75">
      <c r="B659" s="1" t="e">
        <v>#REF!</v>
      </c>
      <c r="C659" s="3" t="e">
        <v>#REF!</v>
      </c>
      <c r="D659" s="1" t="str">
        <f ca="1"/>
        <v/>
      </c>
    </row>
    <row r="660" spans="2:4" ht="12.75">
      <c r="B660" s="1" t="e">
        <v>#REF!</v>
      </c>
      <c r="C660" s="3" t="e">
        <v>#REF!</v>
      </c>
      <c r="D660" s="1" t="str">
        <f ca="1"/>
        <v/>
      </c>
    </row>
    <row r="661" spans="2:4" ht="12.75">
      <c r="B661" s="1" t="e">
        <v>#REF!</v>
      </c>
      <c r="C661" s="3" t="e">
        <v>#REF!</v>
      </c>
      <c r="D661" s="1" t="str">
        <f ca="1"/>
        <v/>
      </c>
    </row>
    <row r="662" spans="2:4" ht="12.75">
      <c r="B662" s="1" t="e">
        <v>#REF!</v>
      </c>
      <c r="C662" s="3" t="e">
        <v>#REF!</v>
      </c>
      <c r="D662" s="1" t="str">
        <f ca="1"/>
        <v/>
      </c>
    </row>
    <row r="663" spans="2:4" ht="12.75">
      <c r="B663" s="1" t="e">
        <v>#REF!</v>
      </c>
      <c r="C663" s="3" t="e">
        <v>#REF!</v>
      </c>
      <c r="D663" s="1" t="str">
        <f ca="1"/>
        <v/>
      </c>
    </row>
    <row r="664" spans="2:4" ht="12.75">
      <c r="B664" s="1" t="e">
        <v>#REF!</v>
      </c>
      <c r="C664" s="3" t="e">
        <v>#REF!</v>
      </c>
      <c r="D664" s="1" t="str">
        <f ca="1"/>
        <v/>
      </c>
    </row>
    <row r="665" spans="2:4" ht="12.75">
      <c r="B665" s="1" t="e">
        <v>#REF!</v>
      </c>
      <c r="C665" s="3" t="e">
        <v>#REF!</v>
      </c>
      <c r="D665" s="1" t="str">
        <f ca="1"/>
        <v/>
      </c>
    </row>
    <row r="666" spans="2:4" ht="12.75">
      <c r="B666" s="1" t="e">
        <v>#REF!</v>
      </c>
      <c r="C666" s="3" t="e">
        <v>#REF!</v>
      </c>
      <c r="D666" s="1" t="str">
        <f ca="1"/>
        <v/>
      </c>
    </row>
    <row r="667" spans="2:4" ht="12.75">
      <c r="B667" s="1" t="e">
        <v>#REF!</v>
      </c>
      <c r="C667" s="3" t="e">
        <v>#REF!</v>
      </c>
      <c r="D667" s="1" t="str">
        <f ca="1"/>
        <v/>
      </c>
    </row>
    <row r="668" spans="2:4" ht="12.75">
      <c r="B668" s="1" t="e">
        <v>#REF!</v>
      </c>
      <c r="C668" s="3" t="e">
        <v>#REF!</v>
      </c>
      <c r="D668" s="1" t="str">
        <f ca="1"/>
        <v/>
      </c>
    </row>
    <row r="669" spans="2:4" ht="12.75">
      <c r="B669" s="1" t="e">
        <v>#REF!</v>
      </c>
      <c r="C669" s="3" t="e">
        <v>#REF!</v>
      </c>
      <c r="D669" s="1" t="str">
        <f ca="1"/>
        <v/>
      </c>
    </row>
    <row r="670" spans="2:4" ht="12.75">
      <c r="B670" s="1" t="e">
        <v>#REF!</v>
      </c>
      <c r="C670" s="3" t="e">
        <v>#REF!</v>
      </c>
      <c r="D670" s="1" t="str">
        <f ca="1"/>
        <v/>
      </c>
    </row>
    <row r="671" spans="2:4" ht="12.75">
      <c r="B671" s="1" t="e">
        <v>#REF!</v>
      </c>
      <c r="C671" s="3" t="e">
        <v>#REF!</v>
      </c>
      <c r="D671" s="1" t="str">
        <f ca="1"/>
        <v/>
      </c>
    </row>
    <row r="672" spans="2:4" ht="12.75">
      <c r="B672" s="1" t="e">
        <v>#REF!</v>
      </c>
      <c r="C672" s="3" t="e">
        <v>#REF!</v>
      </c>
      <c r="D672" s="1" t="str">
        <f ca="1"/>
        <v/>
      </c>
    </row>
    <row r="673" spans="2:4" ht="12.75">
      <c r="B673" s="1" t="e">
        <v>#REF!</v>
      </c>
      <c r="C673" s="3" t="e">
        <v>#REF!</v>
      </c>
      <c r="D673" s="1" t="str">
        <f ca="1"/>
        <v/>
      </c>
    </row>
    <row r="674" spans="2:4" ht="12.75">
      <c r="B674" s="1" t="e">
        <v>#REF!</v>
      </c>
      <c r="C674" s="3" t="e">
        <v>#REF!</v>
      </c>
      <c r="D674" s="1" t="str">
        <f ca="1"/>
        <v/>
      </c>
    </row>
    <row r="675" spans="2:4" ht="12.75">
      <c r="B675" s="1" t="e">
        <v>#REF!</v>
      </c>
      <c r="C675" s="3" t="e">
        <v>#REF!</v>
      </c>
      <c r="D675" s="1" t="str">
        <f ca="1"/>
        <v/>
      </c>
    </row>
    <row r="676" spans="2:4" ht="12.75">
      <c r="B676" s="1" t="e">
        <v>#REF!</v>
      </c>
      <c r="C676" s="3" t="e">
        <v>#REF!</v>
      </c>
      <c r="D676" s="1" t="str">
        <f ca="1"/>
        <v/>
      </c>
    </row>
    <row r="677" spans="2:4" ht="12.75">
      <c r="B677" s="1" t="e">
        <v>#REF!</v>
      </c>
      <c r="C677" s="3" t="e">
        <v>#REF!</v>
      </c>
      <c r="D677" s="1" t="str">
        <f ca="1"/>
        <v/>
      </c>
    </row>
    <row r="678" spans="2:4" ht="12.75">
      <c r="B678" s="1" t="e">
        <v>#REF!</v>
      </c>
      <c r="C678" s="3" t="e">
        <v>#REF!</v>
      </c>
      <c r="D678" s="1" t="str">
        <f ca="1"/>
        <v/>
      </c>
    </row>
    <row r="679" spans="2:4" ht="12.75">
      <c r="B679" s="1" t="e">
        <v>#REF!</v>
      </c>
      <c r="C679" s="3" t="e">
        <v>#REF!</v>
      </c>
      <c r="D679" s="1" t="str">
        <f ca="1"/>
        <v/>
      </c>
    </row>
    <row r="680" spans="2:4" ht="12.75">
      <c r="B680" s="1" t="e">
        <v>#REF!</v>
      </c>
      <c r="C680" s="3" t="e">
        <v>#REF!</v>
      </c>
      <c r="D680" s="1" t="str">
        <f ca="1"/>
        <v/>
      </c>
    </row>
    <row r="681" spans="2:4" ht="12.75">
      <c r="B681" s="1" t="e">
        <v>#REF!</v>
      </c>
      <c r="C681" s="3" t="e">
        <v>#REF!</v>
      </c>
      <c r="D681" s="1" t="str">
        <f ca="1"/>
        <v/>
      </c>
    </row>
    <row r="682" spans="2:4" ht="12.75">
      <c r="B682" s="1" t="e">
        <v>#REF!</v>
      </c>
      <c r="C682" s="3" t="e">
        <v>#REF!</v>
      </c>
      <c r="D682" s="1" t="str">
        <f ca="1"/>
        <v/>
      </c>
    </row>
    <row r="683" spans="2:4" ht="12.75">
      <c r="B683" s="1" t="e">
        <v>#REF!</v>
      </c>
      <c r="C683" s="3" t="e">
        <v>#REF!</v>
      </c>
      <c r="D683" s="1" t="str">
        <f ca="1"/>
        <v/>
      </c>
    </row>
    <row r="684" spans="2:4" ht="12.75">
      <c r="B684" s="1" t="e">
        <v>#REF!</v>
      </c>
      <c r="C684" s="3" t="e">
        <v>#REF!</v>
      </c>
      <c r="D684" s="1" t="str">
        <f ca="1"/>
        <v/>
      </c>
    </row>
    <row r="685" spans="2:4" ht="12.75">
      <c r="B685" s="1" t="e">
        <v>#REF!</v>
      </c>
      <c r="C685" s="3" t="e">
        <v>#REF!</v>
      </c>
      <c r="D685" s="1" t="str">
        <f ca="1"/>
        <v/>
      </c>
    </row>
    <row r="686" spans="2:4" ht="12.75">
      <c r="B686" s="1" t="e">
        <v>#REF!</v>
      </c>
      <c r="C686" s="3" t="e">
        <v>#REF!</v>
      </c>
      <c r="D686" s="1" t="str">
        <f ca="1"/>
        <v/>
      </c>
    </row>
    <row r="687" spans="2:4" ht="12.75">
      <c r="B687" s="1" t="e">
        <v>#REF!</v>
      </c>
      <c r="C687" s="3" t="e">
        <v>#REF!</v>
      </c>
      <c r="D687" s="1" t="str">
        <f ca="1"/>
        <v/>
      </c>
    </row>
    <row r="688" spans="2:4" ht="12.75">
      <c r="B688" s="1" t="e">
        <v>#REF!</v>
      </c>
      <c r="C688" s="3" t="e">
        <v>#REF!</v>
      </c>
      <c r="D688" s="1" t="str">
        <f ca="1"/>
        <v/>
      </c>
    </row>
    <row r="689" spans="2:4" ht="12.75">
      <c r="B689" s="1" t="e">
        <v>#REF!</v>
      </c>
      <c r="C689" s="3" t="e">
        <v>#REF!</v>
      </c>
      <c r="D689" s="1" t="str">
        <f ca="1"/>
        <v/>
      </c>
    </row>
    <row r="690" spans="2:4" ht="12.75">
      <c r="B690" s="1" t="e">
        <v>#REF!</v>
      </c>
      <c r="C690" s="3" t="e">
        <v>#REF!</v>
      </c>
      <c r="D690" s="1" t="str">
        <f ca="1"/>
        <v/>
      </c>
    </row>
    <row r="691" spans="2:4" ht="12.75">
      <c r="B691" s="1" t="e">
        <v>#REF!</v>
      </c>
      <c r="C691" s="3" t="e">
        <v>#REF!</v>
      </c>
      <c r="D691" s="1" t="str">
        <f ca="1"/>
        <v/>
      </c>
    </row>
    <row r="692" spans="2:4" ht="12.75">
      <c r="B692" s="1" t="e">
        <v>#REF!</v>
      </c>
      <c r="C692" s="3" t="e">
        <v>#REF!</v>
      </c>
      <c r="D692" s="1" t="str">
        <f ca="1"/>
        <v/>
      </c>
    </row>
    <row r="693" spans="2:4" ht="12.75">
      <c r="B693" s="1" t="e">
        <v>#REF!</v>
      </c>
      <c r="C693" s="3" t="e">
        <v>#REF!</v>
      </c>
      <c r="D693" s="1" t="str">
        <f ca="1"/>
        <v/>
      </c>
    </row>
    <row r="694" spans="2:4" ht="12.75">
      <c r="B694" s="1" t="e">
        <v>#REF!</v>
      </c>
      <c r="C694" s="3" t="e">
        <v>#REF!</v>
      </c>
      <c r="D694" s="1" t="str">
        <f ca="1"/>
        <v/>
      </c>
    </row>
    <row r="695" spans="2:4" ht="12.75">
      <c r="B695" s="1" t="e">
        <v>#REF!</v>
      </c>
      <c r="C695" s="3" t="e">
        <v>#REF!</v>
      </c>
      <c r="D695" s="1" t="str">
        <f ca="1"/>
        <v/>
      </c>
    </row>
    <row r="696" spans="2:4" ht="12.75">
      <c r="B696" s="1" t="e">
        <v>#REF!</v>
      </c>
      <c r="C696" s="3" t="e">
        <v>#REF!</v>
      </c>
      <c r="D696" s="1" t="str">
        <f ca="1"/>
        <v/>
      </c>
    </row>
    <row r="697" spans="2:4" ht="12.75">
      <c r="B697" s="1" t="e">
        <v>#REF!</v>
      </c>
      <c r="C697" s="3" t="e">
        <v>#REF!</v>
      </c>
      <c r="D697" s="1" t="str">
        <f ca="1"/>
        <v/>
      </c>
    </row>
    <row r="698" spans="2:4" ht="12.75">
      <c r="B698" s="1" t="e">
        <v>#REF!</v>
      </c>
      <c r="C698" s="3" t="e">
        <v>#REF!</v>
      </c>
      <c r="D698" s="1" t="str">
        <f ca="1"/>
        <v/>
      </c>
    </row>
    <row r="699" spans="2:4" ht="12.75">
      <c r="B699" s="1" t="e">
        <v>#REF!</v>
      </c>
      <c r="C699" s="3" t="e">
        <v>#REF!</v>
      </c>
      <c r="D699" s="1" t="str">
        <f ca="1"/>
        <v/>
      </c>
    </row>
    <row r="700" spans="2:4" ht="12.75">
      <c r="B700" s="1" t="e">
        <v>#REF!</v>
      </c>
      <c r="C700" s="3" t="e">
        <v>#REF!</v>
      </c>
      <c r="D700" s="1" t="str">
        <f ca="1"/>
        <v/>
      </c>
    </row>
    <row r="701" spans="2:4" ht="12.75">
      <c r="B701" s="1" t="e">
        <v>#REF!</v>
      </c>
      <c r="C701" s="3" t="e">
        <v>#REF!</v>
      </c>
      <c r="D701" s="1" t="str">
        <f ca="1"/>
        <v/>
      </c>
    </row>
    <row r="702" spans="2:4" ht="12.75">
      <c r="B702" s="1" t="e">
        <v>#REF!</v>
      </c>
      <c r="C702" s="3" t="e">
        <v>#REF!</v>
      </c>
      <c r="D702" s="1" t="str">
        <f ca="1"/>
        <v/>
      </c>
    </row>
    <row r="703" spans="2:4" ht="12.75">
      <c r="B703" s="1" t="e">
        <v>#REF!</v>
      </c>
      <c r="C703" s="3" t="e">
        <v>#REF!</v>
      </c>
      <c r="D703" s="1" t="str">
        <f ca="1"/>
        <v/>
      </c>
    </row>
    <row r="704" spans="2:4" ht="12.75">
      <c r="B704" s="1" t="e">
        <v>#REF!</v>
      </c>
      <c r="C704" s="3" t="e">
        <v>#REF!</v>
      </c>
      <c r="D704" s="1" t="str">
        <f ca="1"/>
        <v/>
      </c>
    </row>
    <row r="705" spans="2:4" ht="12.75">
      <c r="B705" s="1" t="e">
        <v>#REF!</v>
      </c>
      <c r="C705" s="3" t="e">
        <v>#REF!</v>
      </c>
      <c r="D705" s="1" t="str">
        <f ca="1"/>
        <v/>
      </c>
    </row>
    <row r="706" spans="2:4" ht="12.75">
      <c r="B706" s="1" t="e">
        <v>#REF!</v>
      </c>
      <c r="C706" s="3" t="e">
        <v>#REF!</v>
      </c>
      <c r="D706" s="1" t="str">
        <f ca="1"/>
        <v/>
      </c>
    </row>
    <row r="707" spans="2:4" ht="12.75">
      <c r="B707" s="1" t="e">
        <v>#REF!</v>
      </c>
      <c r="C707" s="3" t="e">
        <v>#REF!</v>
      </c>
      <c r="D707" s="1" t="str">
        <f ca="1"/>
        <v/>
      </c>
    </row>
    <row r="708" spans="2:4" ht="12.75">
      <c r="B708" s="1" t="e">
        <v>#REF!</v>
      </c>
      <c r="C708" s="3" t="e">
        <v>#REF!</v>
      </c>
      <c r="D708" s="1" t="str">
        <f ca="1"/>
        <v/>
      </c>
    </row>
    <row r="709" spans="2:4" ht="12.75">
      <c r="B709" s="1" t="e">
        <v>#REF!</v>
      </c>
      <c r="C709" s="3" t="e">
        <v>#REF!</v>
      </c>
      <c r="D709" s="1" t="str">
        <f ca="1"/>
        <v/>
      </c>
    </row>
    <row r="710" spans="2:4" ht="12.75">
      <c r="B710" s="1" t="e">
        <v>#REF!</v>
      </c>
      <c r="C710" s="3" t="e">
        <v>#REF!</v>
      </c>
      <c r="D710" s="1" t="str">
        <f ca="1"/>
        <v/>
      </c>
    </row>
    <row r="711" spans="2:4" ht="12.75">
      <c r="B711" s="1" t="e">
        <v>#REF!</v>
      </c>
      <c r="C711" s="3" t="e">
        <v>#REF!</v>
      </c>
      <c r="D711" s="1" t="str">
        <f ca="1"/>
        <v/>
      </c>
    </row>
    <row r="712" spans="2:4" ht="12.75">
      <c r="B712" s="1" t="e">
        <v>#REF!</v>
      </c>
      <c r="C712" s="3" t="e">
        <v>#REF!</v>
      </c>
      <c r="D712" s="1" t="str">
        <f ca="1"/>
        <v/>
      </c>
    </row>
    <row r="713" spans="2:4" ht="12.75">
      <c r="B713" s="1" t="e">
        <v>#REF!</v>
      </c>
      <c r="C713" s="3" t="e">
        <v>#REF!</v>
      </c>
      <c r="D713" s="1" t="str">
        <f ca="1"/>
        <v/>
      </c>
    </row>
    <row r="714" spans="2:4" ht="12.75">
      <c r="B714" s="1" t="e">
        <v>#REF!</v>
      </c>
      <c r="C714" s="3" t="e">
        <v>#REF!</v>
      </c>
      <c r="D714" s="1" t="str">
        <f ca="1"/>
        <v/>
      </c>
    </row>
    <row r="715" spans="2:4" ht="12.75">
      <c r="B715" s="1" t="e">
        <v>#REF!</v>
      </c>
      <c r="C715" s="3" t="e">
        <v>#REF!</v>
      </c>
      <c r="D715" s="1" t="str">
        <f ca="1"/>
        <v/>
      </c>
    </row>
    <row r="716" spans="2:4" ht="12.75">
      <c r="B716" s="1" t="e">
        <v>#REF!</v>
      </c>
      <c r="C716" s="3" t="e">
        <v>#REF!</v>
      </c>
      <c r="D716" s="1" t="str">
        <f ca="1"/>
        <v/>
      </c>
    </row>
    <row r="717" spans="2:4" ht="12.75">
      <c r="B717" s="1" t="e">
        <v>#REF!</v>
      </c>
      <c r="C717" s="3" t="e">
        <v>#REF!</v>
      </c>
      <c r="D717" s="1" t="str">
        <f ca="1"/>
        <v/>
      </c>
    </row>
    <row r="718" spans="2:4" ht="12.75">
      <c r="B718" s="1" t="e">
        <v>#REF!</v>
      </c>
      <c r="C718" s="3" t="e">
        <v>#REF!</v>
      </c>
      <c r="D718" s="1" t="str">
        <f ca="1"/>
        <v/>
      </c>
    </row>
    <row r="719" spans="2:4" ht="12.75">
      <c r="B719" s="1" t="e">
        <v>#REF!</v>
      </c>
      <c r="C719" s="3" t="e">
        <v>#REF!</v>
      </c>
      <c r="D719" s="1" t="str">
        <f ca="1"/>
        <v/>
      </c>
    </row>
    <row r="720" spans="2:4" ht="12.75">
      <c r="B720" s="1" t="e">
        <v>#REF!</v>
      </c>
      <c r="C720" s="3" t="e">
        <v>#REF!</v>
      </c>
      <c r="D720" s="1" t="str">
        <f ca="1"/>
        <v/>
      </c>
    </row>
    <row r="721" spans="2:4" ht="12.75">
      <c r="B721" s="1" t="e">
        <v>#REF!</v>
      </c>
      <c r="C721" s="3" t="e">
        <v>#REF!</v>
      </c>
      <c r="D721" s="1" t="str">
        <f ca="1"/>
        <v/>
      </c>
    </row>
    <row r="722" spans="2:4" ht="12.75">
      <c r="B722" s="1" t="e">
        <v>#REF!</v>
      </c>
      <c r="C722" s="3" t="e">
        <v>#REF!</v>
      </c>
      <c r="D722" s="1" t="str">
        <f ca="1"/>
        <v/>
      </c>
    </row>
    <row r="723" spans="2:4" ht="12.75">
      <c r="B723" s="1" t="e">
        <v>#REF!</v>
      </c>
      <c r="C723" s="3" t="e">
        <v>#REF!</v>
      </c>
      <c r="D723" s="1" t="str">
        <f ca="1"/>
        <v/>
      </c>
    </row>
    <row r="724" spans="2:4" ht="12.75">
      <c r="B724" s="1" t="e">
        <v>#REF!</v>
      </c>
      <c r="C724" s="3" t="e">
        <v>#REF!</v>
      </c>
      <c r="D724" s="1" t="str">
        <f ca="1"/>
        <v/>
      </c>
    </row>
    <row r="725" spans="2:4" ht="12.75">
      <c r="B725" s="1" t="e">
        <v>#REF!</v>
      </c>
      <c r="C725" s="3" t="e">
        <v>#REF!</v>
      </c>
      <c r="D725" s="1" t="str">
        <f ca="1"/>
        <v/>
      </c>
    </row>
    <row r="726" spans="2:4" ht="12.75">
      <c r="B726" s="1" t="e">
        <v>#REF!</v>
      </c>
      <c r="C726" s="3" t="e">
        <v>#REF!</v>
      </c>
      <c r="D726" s="1" t="str">
        <f ca="1"/>
        <v/>
      </c>
    </row>
    <row r="727" spans="2:4" ht="12.75">
      <c r="B727" s="1" t="e">
        <v>#REF!</v>
      </c>
      <c r="C727" s="3" t="e">
        <v>#REF!</v>
      </c>
      <c r="D727" s="1" t="str">
        <f ca="1"/>
        <v/>
      </c>
    </row>
    <row r="728" spans="2:4" ht="12.75">
      <c r="B728" s="1" t="e">
        <v>#REF!</v>
      </c>
      <c r="C728" s="3" t="e">
        <v>#REF!</v>
      </c>
      <c r="D728" s="1" t="str">
        <f ca="1"/>
        <v/>
      </c>
    </row>
    <row r="729" spans="2:4" ht="12.75">
      <c r="B729" s="1" t="e">
        <v>#REF!</v>
      </c>
      <c r="C729" s="3" t="e">
        <v>#REF!</v>
      </c>
      <c r="D729" s="1" t="str">
        <f ca="1"/>
        <v/>
      </c>
    </row>
    <row r="730" spans="2:4" ht="12.75">
      <c r="B730" s="1" t="e">
        <v>#REF!</v>
      </c>
      <c r="C730" s="3" t="e">
        <v>#REF!</v>
      </c>
      <c r="D730" s="1" t="str">
        <f ca="1"/>
        <v/>
      </c>
    </row>
    <row r="731" spans="2:4" ht="12.75">
      <c r="B731" s="1" t="e">
        <v>#REF!</v>
      </c>
      <c r="C731" s="3" t="e">
        <v>#REF!</v>
      </c>
      <c r="D731" s="1" t="str">
        <f ca="1"/>
        <v/>
      </c>
    </row>
    <row r="732" spans="2:4" ht="12.75">
      <c r="B732" s="1" t="e">
        <v>#REF!</v>
      </c>
      <c r="C732" s="3" t="e">
        <v>#REF!</v>
      </c>
      <c r="D732" s="1" t="str">
        <f ca="1"/>
        <v/>
      </c>
    </row>
    <row r="733" spans="2:4" ht="12.75">
      <c r="B733" s="1" t="e">
        <v>#REF!</v>
      </c>
      <c r="C733" s="3" t="e">
        <v>#REF!</v>
      </c>
      <c r="D733" s="1" t="str">
        <f ca="1"/>
        <v/>
      </c>
    </row>
    <row r="734" spans="2:4" ht="12.75">
      <c r="B734" s="1" t="e">
        <v>#REF!</v>
      </c>
      <c r="C734" s="3" t="e">
        <v>#REF!</v>
      </c>
      <c r="D734" s="1" t="str">
        <f ca="1"/>
        <v/>
      </c>
    </row>
    <row r="735" spans="2:4" ht="12.75">
      <c r="B735" s="1" t="e">
        <v>#REF!</v>
      </c>
      <c r="C735" s="3" t="e">
        <v>#REF!</v>
      </c>
      <c r="D735" s="1" t="str">
        <f ca="1"/>
        <v/>
      </c>
    </row>
    <row r="736" spans="2:4" ht="12.75">
      <c r="B736" s="1" t="e">
        <v>#REF!</v>
      </c>
      <c r="C736" s="3" t="e">
        <v>#REF!</v>
      </c>
      <c r="D736" s="1" t="str">
        <f ca="1"/>
        <v/>
      </c>
    </row>
    <row r="737" spans="2:4" ht="12.75">
      <c r="B737" s="1" t="e">
        <v>#REF!</v>
      </c>
      <c r="C737" s="3" t="e">
        <v>#REF!</v>
      </c>
      <c r="D737" s="1" t="str">
        <f ca="1"/>
        <v/>
      </c>
    </row>
    <row r="738" spans="2:4" ht="12.75">
      <c r="B738" s="1" t="e">
        <v>#REF!</v>
      </c>
      <c r="C738" s="3" t="e">
        <v>#REF!</v>
      </c>
      <c r="D738" s="1" t="str">
        <f ca="1"/>
        <v/>
      </c>
    </row>
    <row r="739" spans="2:4" ht="12.75">
      <c r="B739" s="1" t="e">
        <v>#REF!</v>
      </c>
      <c r="C739" s="3" t="e">
        <v>#REF!</v>
      </c>
      <c r="D739" s="1" t="str">
        <f ca="1"/>
        <v/>
      </c>
    </row>
    <row r="740" spans="2:4" ht="12.75">
      <c r="B740" s="1" t="e">
        <v>#REF!</v>
      </c>
      <c r="C740" s="3" t="e">
        <v>#REF!</v>
      </c>
      <c r="D740" s="1" t="str">
        <f ca="1"/>
        <v/>
      </c>
    </row>
    <row r="741" spans="2:4" ht="12.75">
      <c r="B741" s="1" t="e">
        <v>#REF!</v>
      </c>
      <c r="C741" s="3" t="e">
        <v>#REF!</v>
      </c>
      <c r="D741" s="1" t="str">
        <f ca="1"/>
        <v/>
      </c>
    </row>
    <row r="742" spans="2:4" ht="12.75">
      <c r="B742" s="1" t="e">
        <v>#REF!</v>
      </c>
      <c r="C742" s="3" t="e">
        <v>#REF!</v>
      </c>
      <c r="D742" s="1" t="str">
        <f ca="1"/>
        <v/>
      </c>
    </row>
    <row r="743" spans="2:4" ht="12.75">
      <c r="B743" s="1" t="e">
        <v>#REF!</v>
      </c>
      <c r="C743" s="3" t="e">
        <v>#REF!</v>
      </c>
      <c r="D743" s="1" t="str">
        <f ca="1"/>
        <v/>
      </c>
    </row>
    <row r="744" spans="2:4" ht="12.75">
      <c r="B744" s="1" t="e">
        <v>#REF!</v>
      </c>
      <c r="C744" s="3" t="e">
        <v>#REF!</v>
      </c>
      <c r="D744" s="1" t="str">
        <f ca="1"/>
        <v/>
      </c>
    </row>
    <row r="745" spans="2:4" ht="12.75">
      <c r="B745" s="1" t="e">
        <v>#REF!</v>
      </c>
      <c r="C745" s="3" t="e">
        <v>#REF!</v>
      </c>
      <c r="D745" s="1" t="str">
        <f ca="1"/>
        <v/>
      </c>
    </row>
    <row r="746" spans="2:4" ht="12.75">
      <c r="B746" s="1" t="e">
        <v>#REF!</v>
      </c>
      <c r="C746" s="3" t="e">
        <v>#REF!</v>
      </c>
      <c r="D746" s="1" t="str">
        <f ca="1"/>
        <v/>
      </c>
    </row>
    <row r="747" spans="2:4" ht="12.75">
      <c r="B747" s="1" t="e">
        <v>#REF!</v>
      </c>
      <c r="C747" s="3" t="e">
        <v>#REF!</v>
      </c>
      <c r="D747" s="1" t="str">
        <f ca="1"/>
        <v/>
      </c>
    </row>
    <row r="748" spans="2:4" ht="12.75">
      <c r="B748" s="1" t="e">
        <v>#REF!</v>
      </c>
      <c r="C748" s="3" t="e">
        <v>#REF!</v>
      </c>
      <c r="D748" s="1" t="str">
        <f ca="1"/>
        <v/>
      </c>
    </row>
    <row r="749" spans="2:4" ht="12.75">
      <c r="B749" s="1" t="e">
        <v>#REF!</v>
      </c>
      <c r="C749" s="3" t="e">
        <v>#REF!</v>
      </c>
      <c r="D749" s="1" t="str">
        <f ca="1"/>
        <v/>
      </c>
    </row>
    <row r="750" spans="2:4" ht="12.75">
      <c r="B750" s="1" t="e">
        <v>#REF!</v>
      </c>
      <c r="C750" s="3" t="e">
        <v>#REF!</v>
      </c>
      <c r="D750" s="1" t="str">
        <f ca="1"/>
        <v/>
      </c>
    </row>
    <row r="751" spans="2:4" ht="12.75">
      <c r="B751" s="1" t="e">
        <v>#REF!</v>
      </c>
      <c r="C751" s="3" t="e">
        <v>#REF!</v>
      </c>
      <c r="D751" s="1" t="str">
        <f ca="1"/>
        <v/>
      </c>
    </row>
    <row r="752" spans="2:4" ht="12.75">
      <c r="B752" s="1" t="e">
        <v>#REF!</v>
      </c>
      <c r="C752" s="3" t="e">
        <v>#REF!</v>
      </c>
      <c r="D752" s="1" t="str">
        <f ca="1"/>
        <v/>
      </c>
    </row>
    <row r="753" spans="2:4" ht="12.75">
      <c r="B753" s="1" t="e">
        <v>#REF!</v>
      </c>
      <c r="C753" s="3" t="e">
        <v>#REF!</v>
      </c>
      <c r="D753" s="1" t="str">
        <f ca="1"/>
        <v/>
      </c>
    </row>
    <row r="754" spans="2:4" ht="12.75">
      <c r="B754" s="1" t="e">
        <v>#REF!</v>
      </c>
      <c r="C754" s="3" t="e">
        <v>#REF!</v>
      </c>
      <c r="D754" s="1" t="str">
        <f ca="1"/>
        <v/>
      </c>
    </row>
    <row r="755" spans="2:4" ht="12.75">
      <c r="B755" s="1" t="e">
        <v>#REF!</v>
      </c>
      <c r="C755" s="3" t="e">
        <v>#REF!</v>
      </c>
      <c r="D755" s="1" t="str">
        <f ca="1"/>
        <v/>
      </c>
    </row>
    <row r="756" spans="2:4" ht="12.75">
      <c r="B756" s="1" t="e">
        <v>#REF!</v>
      </c>
      <c r="C756" s="3" t="e">
        <v>#REF!</v>
      </c>
      <c r="D756" s="1" t="str">
        <f ca="1"/>
        <v/>
      </c>
    </row>
    <row r="757" spans="2:4" ht="12.75">
      <c r="B757" s="1" t="e">
        <v>#REF!</v>
      </c>
      <c r="C757" s="3" t="e">
        <v>#REF!</v>
      </c>
      <c r="D757" s="1" t="str">
        <f ca="1"/>
        <v/>
      </c>
    </row>
    <row r="758" spans="2:4" ht="12.75">
      <c r="B758" s="1" t="e">
        <v>#REF!</v>
      </c>
      <c r="C758" s="3" t="e">
        <v>#REF!</v>
      </c>
      <c r="D758" s="1" t="str">
        <f ca="1"/>
        <v/>
      </c>
    </row>
    <row r="759" spans="2:4" ht="12.75">
      <c r="B759" s="1" t="e">
        <v>#REF!</v>
      </c>
      <c r="C759" s="3" t="e">
        <v>#REF!</v>
      </c>
      <c r="D759" s="1" t="str">
        <f ca="1"/>
        <v/>
      </c>
    </row>
    <row r="760" spans="2:4" ht="12.75">
      <c r="B760" s="1" t="e">
        <v>#REF!</v>
      </c>
      <c r="C760" s="3" t="e">
        <v>#REF!</v>
      </c>
      <c r="D760" s="1" t="str">
        <f ca="1"/>
        <v/>
      </c>
    </row>
    <row r="761" spans="2:4" ht="12.75">
      <c r="B761" s="1" t="e">
        <v>#REF!</v>
      </c>
      <c r="C761" s="3" t="e">
        <v>#REF!</v>
      </c>
      <c r="D761" s="1" t="str">
        <f ca="1"/>
        <v/>
      </c>
    </row>
    <row r="762" spans="2:4" ht="12.75">
      <c r="B762" s="1" t="e">
        <v>#REF!</v>
      </c>
      <c r="C762" s="3" t="e">
        <v>#REF!</v>
      </c>
      <c r="D762" s="1" t="str">
        <f ca="1"/>
        <v/>
      </c>
    </row>
    <row r="763" spans="2:4" ht="12.75">
      <c r="B763" s="1" t="e">
        <v>#REF!</v>
      </c>
      <c r="C763" s="3" t="e">
        <v>#REF!</v>
      </c>
      <c r="D763" s="1" t="str">
        <f ca="1"/>
        <v/>
      </c>
    </row>
    <row r="764" spans="2:4" ht="12.75">
      <c r="B764" s="1" t="e">
        <v>#REF!</v>
      </c>
      <c r="C764" s="3" t="e">
        <v>#REF!</v>
      </c>
      <c r="D764" s="1" t="str">
        <f ca="1"/>
        <v/>
      </c>
    </row>
    <row r="765" spans="2:4" ht="12.75">
      <c r="B765" s="1" t="e">
        <v>#REF!</v>
      </c>
      <c r="C765" s="3" t="e">
        <v>#REF!</v>
      </c>
      <c r="D765" s="1" t="str">
        <f ca="1"/>
        <v/>
      </c>
    </row>
    <row r="766" spans="2:4" ht="12.75">
      <c r="B766" s="1" t="e">
        <v>#REF!</v>
      </c>
      <c r="C766" s="3" t="e">
        <v>#REF!</v>
      </c>
      <c r="D766" s="1" t="str">
        <f ca="1"/>
        <v/>
      </c>
    </row>
    <row r="767" spans="2:4" ht="12.75">
      <c r="B767" s="1" t="e">
        <v>#REF!</v>
      </c>
      <c r="C767" s="3" t="e">
        <v>#REF!</v>
      </c>
      <c r="D767" s="1" t="str">
        <f ca="1"/>
        <v/>
      </c>
    </row>
    <row r="768" spans="2:4" ht="12.75">
      <c r="B768" s="1" t="e">
        <v>#REF!</v>
      </c>
      <c r="C768" s="3" t="e">
        <v>#REF!</v>
      </c>
      <c r="D768" s="1" t="str">
        <f ca="1"/>
        <v/>
      </c>
    </row>
    <row r="769" spans="2:4" ht="12.75">
      <c r="B769" s="1" t="e">
        <v>#REF!</v>
      </c>
      <c r="C769" s="3" t="e">
        <v>#REF!</v>
      </c>
      <c r="D769" s="1" t="str">
        <f ca="1"/>
        <v/>
      </c>
    </row>
    <row r="770" spans="2:4" ht="12.75">
      <c r="B770" s="1" t="e">
        <v>#REF!</v>
      </c>
      <c r="C770" s="3" t="e">
        <v>#REF!</v>
      </c>
      <c r="D770" s="1" t="str">
        <f ca="1"/>
        <v/>
      </c>
    </row>
    <row r="771" spans="2:4" ht="12.75">
      <c r="B771" s="1" t="e">
        <v>#REF!</v>
      </c>
      <c r="C771" s="3" t="e">
        <v>#REF!</v>
      </c>
      <c r="D771" s="1" t="str">
        <f ca="1"/>
        <v/>
      </c>
    </row>
    <row r="772" spans="2:4" ht="12.75">
      <c r="B772" s="1" t="e">
        <v>#REF!</v>
      </c>
      <c r="C772" s="3" t="e">
        <v>#REF!</v>
      </c>
      <c r="D772" s="1" t="str">
        <f ca="1"/>
        <v/>
      </c>
    </row>
    <row r="773" spans="2:4" ht="12.75">
      <c r="B773" s="1" t="e">
        <v>#REF!</v>
      </c>
      <c r="C773" s="3" t="e">
        <v>#REF!</v>
      </c>
      <c r="D773" s="1" t="str">
        <f ca="1"/>
        <v/>
      </c>
    </row>
    <row r="774" spans="2:4" ht="12.75">
      <c r="B774" s="1" t="e">
        <v>#REF!</v>
      </c>
      <c r="C774" s="3" t="e">
        <v>#REF!</v>
      </c>
      <c r="D774" s="1" t="str">
        <f ca="1"/>
        <v/>
      </c>
    </row>
    <row r="775" spans="2:4" ht="12.75">
      <c r="B775" s="1" t="e">
        <v>#REF!</v>
      </c>
      <c r="C775" s="3" t="e">
        <v>#REF!</v>
      </c>
      <c r="D775" s="1" t="str">
        <f ca="1"/>
        <v/>
      </c>
    </row>
    <row r="776" spans="2:4" ht="12.75">
      <c r="B776" s="1" t="e">
        <v>#REF!</v>
      </c>
      <c r="C776" s="3" t="e">
        <v>#REF!</v>
      </c>
      <c r="D776" s="1" t="str">
        <f ca="1"/>
        <v/>
      </c>
    </row>
    <row r="777" spans="2:4" ht="12.75">
      <c r="B777" s="1" t="e">
        <v>#REF!</v>
      </c>
      <c r="C777" s="3" t="e">
        <v>#REF!</v>
      </c>
      <c r="D777" s="1" t="str">
        <f ca="1"/>
        <v/>
      </c>
    </row>
    <row r="778" spans="2:4" ht="12.75">
      <c r="B778" s="1" t="e">
        <v>#REF!</v>
      </c>
      <c r="C778" s="3" t="e">
        <v>#REF!</v>
      </c>
      <c r="D778" s="1" t="str">
        <f ca="1"/>
        <v/>
      </c>
    </row>
    <row r="779" spans="2:4" ht="12.75">
      <c r="B779" s="1" t="e">
        <v>#REF!</v>
      </c>
      <c r="C779" s="3" t="e">
        <v>#REF!</v>
      </c>
      <c r="D779" s="1" t="str">
        <f ca="1"/>
        <v/>
      </c>
    </row>
    <row r="780" spans="2:4" ht="12.75">
      <c r="B780" s="1" t="e">
        <v>#REF!</v>
      </c>
      <c r="C780" s="3" t="e">
        <v>#REF!</v>
      </c>
      <c r="D780" s="1" t="str">
        <f ca="1"/>
        <v/>
      </c>
    </row>
    <row r="781" spans="2:4" ht="12.75">
      <c r="B781" s="1" t="e">
        <v>#REF!</v>
      </c>
      <c r="C781" s="3" t="e">
        <v>#REF!</v>
      </c>
      <c r="D781" s="1" t="str">
        <f ca="1"/>
        <v/>
      </c>
    </row>
    <row r="782" spans="2:4" ht="12.75">
      <c r="B782" s="1" t="e">
        <v>#REF!</v>
      </c>
      <c r="C782" s="3" t="e">
        <v>#REF!</v>
      </c>
      <c r="D782" s="1" t="str">
        <f ca="1"/>
        <v/>
      </c>
    </row>
    <row r="783" spans="2:4" ht="12.75">
      <c r="B783" s="1" t="e">
        <v>#REF!</v>
      </c>
      <c r="C783" s="3" t="e">
        <v>#REF!</v>
      </c>
      <c r="D783" s="1" t="str">
        <f ca="1"/>
        <v/>
      </c>
    </row>
    <row r="784" spans="2:4" ht="12.75">
      <c r="B784" s="1" t="e">
        <v>#REF!</v>
      </c>
      <c r="C784" s="3" t="e">
        <v>#REF!</v>
      </c>
      <c r="D784" s="1" t="str">
        <f ca="1"/>
        <v/>
      </c>
    </row>
    <row r="785" spans="2:4" ht="12.75">
      <c r="B785" s="1" t="e">
        <v>#REF!</v>
      </c>
      <c r="C785" s="3" t="e">
        <v>#REF!</v>
      </c>
      <c r="D785" s="1" t="str">
        <f ca="1"/>
        <v/>
      </c>
    </row>
    <row r="786" spans="2:4" ht="12.75">
      <c r="B786" s="1" t="e">
        <v>#REF!</v>
      </c>
      <c r="C786" s="3" t="e">
        <v>#REF!</v>
      </c>
      <c r="D786" s="1" t="str">
        <f ca="1"/>
        <v/>
      </c>
    </row>
    <row r="787" spans="2:4" ht="12.75">
      <c r="B787" s="1" t="e">
        <v>#REF!</v>
      </c>
      <c r="C787" s="3" t="e">
        <v>#REF!</v>
      </c>
      <c r="D787" s="1" t="str">
        <f ca="1"/>
        <v/>
      </c>
    </row>
    <row r="788" spans="2:4" ht="12.75">
      <c r="B788" s="1" t="e">
        <v>#REF!</v>
      </c>
      <c r="C788" s="3" t="e">
        <v>#REF!</v>
      </c>
      <c r="D788" s="1" t="str">
        <f ca="1"/>
        <v/>
      </c>
    </row>
    <row r="789" spans="2:4" ht="12.75">
      <c r="B789" s="1" t="e">
        <v>#REF!</v>
      </c>
      <c r="C789" s="3" t="e">
        <v>#REF!</v>
      </c>
      <c r="D789" s="1" t="str">
        <f ca="1"/>
        <v/>
      </c>
    </row>
    <row r="790" spans="2:4" ht="12.75">
      <c r="B790" s="1" t="e">
        <v>#REF!</v>
      </c>
      <c r="C790" s="3" t="e">
        <v>#REF!</v>
      </c>
      <c r="D790" s="1" t="str">
        <f ca="1"/>
        <v/>
      </c>
    </row>
    <row r="791" spans="2:4" ht="12.75">
      <c r="B791" s="1" t="e">
        <v>#REF!</v>
      </c>
      <c r="C791" s="3" t="e">
        <v>#REF!</v>
      </c>
      <c r="D791" s="1" t="str">
        <f ca="1"/>
        <v/>
      </c>
    </row>
    <row r="792" spans="2:4" ht="12.75">
      <c r="B792" s="1" t="e">
        <v>#REF!</v>
      </c>
      <c r="C792" s="3" t="e">
        <v>#REF!</v>
      </c>
      <c r="D792" s="1" t="str">
        <f ca="1"/>
        <v/>
      </c>
    </row>
    <row r="793" spans="2:4" ht="12.75">
      <c r="B793" s="1" t="e">
        <v>#REF!</v>
      </c>
      <c r="C793" s="3" t="e">
        <v>#REF!</v>
      </c>
      <c r="D793" s="1" t="str">
        <f ca="1"/>
        <v/>
      </c>
    </row>
    <row r="794" spans="2:4" ht="12.75">
      <c r="B794" s="1" t="e">
        <v>#REF!</v>
      </c>
      <c r="C794" s="3" t="e">
        <v>#REF!</v>
      </c>
      <c r="D794" s="1" t="str">
        <f ca="1"/>
        <v/>
      </c>
    </row>
    <row r="795" spans="2:4" ht="12.75">
      <c r="B795" s="1" t="e">
        <v>#REF!</v>
      </c>
      <c r="C795" s="3" t="e">
        <v>#REF!</v>
      </c>
      <c r="D795" s="1" t="str">
        <f ca="1"/>
        <v/>
      </c>
    </row>
    <row r="796" spans="2:4" ht="12.75">
      <c r="B796" s="1" t="e">
        <v>#REF!</v>
      </c>
      <c r="C796" s="3" t="e">
        <v>#REF!</v>
      </c>
      <c r="D796" s="1" t="str">
        <f ca="1"/>
        <v/>
      </c>
    </row>
    <row r="797" spans="2:4" ht="12.75">
      <c r="B797" s="1" t="e">
        <v>#REF!</v>
      </c>
      <c r="C797" s="3" t="e">
        <v>#REF!</v>
      </c>
      <c r="D797" s="1" t="str">
        <f ca="1"/>
        <v/>
      </c>
    </row>
    <row r="798" spans="2:4" ht="12.75">
      <c r="B798" s="1" t="e">
        <v>#REF!</v>
      </c>
      <c r="C798" s="3" t="e">
        <v>#REF!</v>
      </c>
      <c r="D798" s="1" t="str">
        <f ca="1"/>
        <v/>
      </c>
    </row>
    <row r="799" spans="2:4" ht="12.75">
      <c r="B799" s="1" t="e">
        <v>#REF!</v>
      </c>
      <c r="C799" s="3" t="e">
        <v>#REF!</v>
      </c>
      <c r="D799" s="1" t="str">
        <f ca="1"/>
        <v/>
      </c>
    </row>
    <row r="800" spans="2:4" ht="12.75">
      <c r="B800" s="1" t="e">
        <v>#REF!</v>
      </c>
      <c r="C800" s="3" t="e">
        <v>#REF!</v>
      </c>
      <c r="D800" s="1" t="str">
        <f ca="1"/>
        <v/>
      </c>
    </row>
    <row r="801" spans="2:4" ht="12.75">
      <c r="B801" s="1" t="e">
        <v>#REF!</v>
      </c>
      <c r="C801" s="3" t="e">
        <v>#REF!</v>
      </c>
      <c r="D801" s="1" t="str">
        <f ca="1"/>
        <v/>
      </c>
    </row>
    <row r="802" spans="2:4" ht="12.75">
      <c r="B802" s="1" t="e">
        <v>#REF!</v>
      </c>
      <c r="C802" s="3" t="e">
        <v>#REF!</v>
      </c>
      <c r="D802" s="1" t="str">
        <f ca="1"/>
        <v/>
      </c>
    </row>
    <row r="803" spans="2:4" ht="12.75">
      <c r="B803" s="1" t="e">
        <v>#REF!</v>
      </c>
      <c r="C803" s="3" t="e">
        <v>#REF!</v>
      </c>
      <c r="D803" s="1" t="str">
        <f ca="1"/>
        <v/>
      </c>
    </row>
    <row r="804" spans="2:4" ht="12.75">
      <c r="B804" s="1" t="e">
        <v>#REF!</v>
      </c>
      <c r="C804" s="3" t="e">
        <v>#REF!</v>
      </c>
      <c r="D804" s="1" t="str">
        <f ca="1"/>
        <v/>
      </c>
    </row>
    <row r="805" spans="2:4" ht="12.75">
      <c r="B805" s="1" t="e">
        <v>#REF!</v>
      </c>
      <c r="C805" s="3" t="e">
        <v>#REF!</v>
      </c>
      <c r="D805" s="1" t="str">
        <f ca="1"/>
        <v/>
      </c>
    </row>
    <row r="806" spans="2:4" ht="12.75">
      <c r="B806" s="1" t="e">
        <v>#REF!</v>
      </c>
      <c r="C806" s="3" t="e">
        <v>#REF!</v>
      </c>
      <c r="D806" s="1" t="str">
        <f ca="1"/>
        <v/>
      </c>
    </row>
    <row r="807" spans="2:4" ht="12.75">
      <c r="B807" s="1" t="e">
        <v>#REF!</v>
      </c>
      <c r="C807" s="3" t="e">
        <v>#REF!</v>
      </c>
      <c r="D807" s="1" t="str">
        <f ca="1"/>
        <v/>
      </c>
    </row>
    <row r="808" spans="2:4" ht="12.75">
      <c r="B808" s="1" t="e">
        <v>#REF!</v>
      </c>
      <c r="C808" s="3" t="e">
        <v>#REF!</v>
      </c>
      <c r="D808" s="1" t="str">
        <f ca="1"/>
        <v/>
      </c>
    </row>
    <row r="809" spans="2:4" ht="12.75">
      <c r="B809" s="1" t="e">
        <v>#REF!</v>
      </c>
      <c r="C809" s="3" t="e">
        <v>#REF!</v>
      </c>
      <c r="D809" s="1" t="str">
        <f ca="1"/>
        <v/>
      </c>
    </row>
    <row r="810" spans="2:4" ht="12.75">
      <c r="B810" s="1" t="e">
        <v>#REF!</v>
      </c>
      <c r="C810" s="3" t="e">
        <v>#REF!</v>
      </c>
      <c r="D810" s="1" t="str">
        <f ca="1"/>
        <v/>
      </c>
    </row>
    <row r="811" spans="2:4" ht="12.75">
      <c r="B811" s="1" t="e">
        <v>#REF!</v>
      </c>
      <c r="C811" s="3" t="e">
        <v>#REF!</v>
      </c>
      <c r="D811" s="1" t="str">
        <f ca="1"/>
        <v/>
      </c>
    </row>
    <row r="812" spans="2:4" ht="12.75">
      <c r="B812" s="1" t="e">
        <v>#REF!</v>
      </c>
      <c r="C812" s="3" t="e">
        <v>#REF!</v>
      </c>
      <c r="D812" s="1" t="str">
        <f ca="1"/>
        <v/>
      </c>
    </row>
    <row r="813" spans="2:4" ht="12.75">
      <c r="B813" s="1" t="e">
        <v>#REF!</v>
      </c>
      <c r="C813" s="3" t="e">
        <v>#REF!</v>
      </c>
      <c r="D813" s="1" t="str">
        <f ca="1"/>
        <v/>
      </c>
    </row>
    <row r="814" spans="2:4" ht="12.75">
      <c r="B814" s="1" t="e">
        <v>#REF!</v>
      </c>
      <c r="C814" s="3" t="e">
        <v>#REF!</v>
      </c>
      <c r="D814" s="1" t="str">
        <f ca="1"/>
        <v/>
      </c>
    </row>
    <row r="815" spans="2:4" ht="12.75">
      <c r="B815" s="1" t="e">
        <v>#REF!</v>
      </c>
      <c r="C815" s="3" t="e">
        <v>#REF!</v>
      </c>
      <c r="D815" s="1" t="str">
        <f ca="1"/>
        <v/>
      </c>
    </row>
    <row r="816" spans="2:4" ht="12.75">
      <c r="B816" s="1" t="e">
        <v>#REF!</v>
      </c>
      <c r="C816" s="3" t="e">
        <v>#REF!</v>
      </c>
      <c r="D816" s="1" t="str">
        <f ca="1"/>
        <v/>
      </c>
    </row>
    <row r="817" spans="2:4" ht="12.75">
      <c r="B817" s="1" t="e">
        <v>#REF!</v>
      </c>
      <c r="C817" s="3" t="e">
        <v>#REF!</v>
      </c>
      <c r="D817" s="1" t="str">
        <f ca="1"/>
        <v/>
      </c>
    </row>
    <row r="818" spans="2:4" ht="12.75">
      <c r="B818" s="1" t="e">
        <v>#REF!</v>
      </c>
      <c r="C818" s="3" t="e">
        <v>#REF!</v>
      </c>
      <c r="D818" s="1" t="str">
        <f ca="1"/>
        <v/>
      </c>
    </row>
    <row r="819" spans="2:4" ht="12.75">
      <c r="B819" s="1" t="e">
        <v>#REF!</v>
      </c>
      <c r="C819" s="3" t="e">
        <v>#REF!</v>
      </c>
      <c r="D819" s="1" t="str">
        <f ca="1"/>
        <v/>
      </c>
    </row>
    <row r="820" spans="2:4" ht="12.75">
      <c r="B820" s="1" t="e">
        <v>#REF!</v>
      </c>
      <c r="C820" s="3" t="e">
        <v>#REF!</v>
      </c>
      <c r="D820" s="1" t="str">
        <f ca="1"/>
        <v/>
      </c>
    </row>
    <row r="821" spans="2:4" ht="12.75">
      <c r="B821" s="1" t="e">
        <v>#REF!</v>
      </c>
      <c r="C821" s="3" t="e">
        <v>#REF!</v>
      </c>
      <c r="D821" s="1" t="str">
        <f ca="1"/>
        <v/>
      </c>
    </row>
    <row r="822" spans="2:4" ht="12.75">
      <c r="B822" s="1" t="e">
        <v>#REF!</v>
      </c>
      <c r="C822" s="3" t="e">
        <v>#REF!</v>
      </c>
      <c r="D822" s="1" t="str">
        <f ca="1"/>
        <v/>
      </c>
    </row>
    <row r="823" spans="2:4" ht="12.75">
      <c r="B823" s="1" t="e">
        <v>#REF!</v>
      </c>
      <c r="C823" s="3" t="e">
        <v>#REF!</v>
      </c>
      <c r="D823" s="1" t="str">
        <f ca="1"/>
        <v/>
      </c>
    </row>
    <row r="824" spans="2:4" ht="12.75">
      <c r="B824" s="1" t="e">
        <v>#REF!</v>
      </c>
      <c r="C824" s="3" t="e">
        <v>#REF!</v>
      </c>
      <c r="D824" s="1" t="str">
        <f ca="1"/>
        <v/>
      </c>
    </row>
    <row r="825" spans="2:4" ht="12.75">
      <c r="B825" s="1" t="e">
        <v>#REF!</v>
      </c>
      <c r="C825" s="3" t="e">
        <v>#REF!</v>
      </c>
      <c r="D825" s="1" t="str">
        <f ca="1"/>
        <v/>
      </c>
    </row>
    <row r="826" spans="2:4" ht="12.75">
      <c r="B826" s="1" t="e">
        <v>#REF!</v>
      </c>
      <c r="C826" s="3" t="e">
        <v>#REF!</v>
      </c>
      <c r="D826" s="1" t="str">
        <f ca="1"/>
        <v/>
      </c>
    </row>
    <row r="827" spans="2:4" ht="12.75">
      <c r="B827" s="1" t="e">
        <v>#REF!</v>
      </c>
      <c r="C827" s="3" t="e">
        <v>#REF!</v>
      </c>
      <c r="D827" s="1" t="str">
        <f ca="1"/>
        <v/>
      </c>
    </row>
    <row r="828" spans="2:4" ht="12.75">
      <c r="B828" s="1" t="e">
        <v>#REF!</v>
      </c>
      <c r="C828" s="3" t="e">
        <v>#REF!</v>
      </c>
      <c r="D828" s="1" t="str">
        <f ca="1"/>
        <v/>
      </c>
    </row>
    <row r="829" spans="2:4" ht="12.75">
      <c r="B829" s="1" t="e">
        <v>#REF!</v>
      </c>
      <c r="C829" s="3" t="e">
        <v>#REF!</v>
      </c>
      <c r="D829" s="1" t="str">
        <f ca="1"/>
        <v/>
      </c>
    </row>
    <row r="830" spans="2:4" ht="12.75">
      <c r="B830" s="1" t="e">
        <v>#REF!</v>
      </c>
      <c r="C830" s="3" t="e">
        <v>#REF!</v>
      </c>
      <c r="D830" s="1" t="str">
        <f ca="1"/>
        <v/>
      </c>
    </row>
    <row r="831" spans="2:4" ht="12.75">
      <c r="B831" s="1" t="e">
        <v>#REF!</v>
      </c>
      <c r="C831" s="3" t="e">
        <v>#REF!</v>
      </c>
      <c r="D831" s="1" t="str">
        <f ca="1"/>
        <v/>
      </c>
    </row>
    <row r="832" spans="2:4" ht="12.75">
      <c r="B832" s="1" t="e">
        <v>#REF!</v>
      </c>
      <c r="C832" s="3" t="e">
        <v>#REF!</v>
      </c>
      <c r="D832" s="1" t="str">
        <f ca="1"/>
        <v/>
      </c>
    </row>
    <row r="833" spans="2:4" ht="12.75">
      <c r="B833" s="1" t="e">
        <v>#REF!</v>
      </c>
      <c r="C833" s="3" t="e">
        <v>#REF!</v>
      </c>
      <c r="D833" s="1" t="str">
        <f ca="1"/>
        <v/>
      </c>
    </row>
    <row r="834" spans="2:4" ht="12.75">
      <c r="B834" s="1" t="e">
        <v>#REF!</v>
      </c>
      <c r="C834" s="3" t="e">
        <v>#REF!</v>
      </c>
      <c r="D834" s="1" t="str">
        <f ca="1"/>
        <v/>
      </c>
    </row>
    <row r="835" spans="2:4" ht="12.75">
      <c r="B835" s="1" t="e">
        <v>#REF!</v>
      </c>
      <c r="C835" s="3" t="e">
        <v>#REF!</v>
      </c>
      <c r="D835" s="1" t="str">
        <f ca="1"/>
        <v/>
      </c>
    </row>
    <row r="836" spans="2:4" ht="12.75">
      <c r="B836" s="1" t="e">
        <v>#REF!</v>
      </c>
      <c r="C836" s="3" t="e">
        <v>#REF!</v>
      </c>
      <c r="D836" s="1" t="str">
        <f ca="1"/>
        <v/>
      </c>
    </row>
    <row r="837" spans="2:4" ht="12.75">
      <c r="B837" s="1" t="e">
        <v>#REF!</v>
      </c>
      <c r="C837" s="3" t="e">
        <v>#REF!</v>
      </c>
      <c r="D837" s="1" t="str">
        <f ca="1"/>
        <v/>
      </c>
    </row>
    <row r="838" spans="2:4" ht="12.75">
      <c r="B838" s="1" t="e">
        <v>#REF!</v>
      </c>
      <c r="C838" s="3" t="e">
        <v>#REF!</v>
      </c>
      <c r="D838" s="1" t="str">
        <f ca="1"/>
        <v/>
      </c>
    </row>
    <row r="839" spans="2:4" ht="12.75">
      <c r="B839" s="1" t="e">
        <v>#REF!</v>
      </c>
      <c r="C839" s="3" t="e">
        <v>#REF!</v>
      </c>
      <c r="D839" s="1" t="str">
        <f ca="1"/>
        <v/>
      </c>
    </row>
    <row r="840" spans="2:4" ht="12.75">
      <c r="B840" s="1" t="e">
        <v>#REF!</v>
      </c>
      <c r="C840" s="3" t="e">
        <v>#REF!</v>
      </c>
      <c r="D840" s="1" t="str">
        <f ca="1"/>
        <v/>
      </c>
    </row>
    <row r="841" spans="2:4" ht="12.75">
      <c r="B841" s="1" t="e">
        <v>#REF!</v>
      </c>
      <c r="C841" s="3" t="e">
        <v>#REF!</v>
      </c>
      <c r="D841" s="1" t="str">
        <f ca="1"/>
        <v/>
      </c>
    </row>
    <row r="842" spans="2:4" ht="12.75">
      <c r="B842" s="1" t="e">
        <v>#REF!</v>
      </c>
      <c r="C842" s="3" t="e">
        <v>#REF!</v>
      </c>
      <c r="D842" s="1" t="str">
        <f ca="1"/>
        <v/>
      </c>
    </row>
    <row r="843" spans="2:4" ht="12.75">
      <c r="B843" s="1" t="e">
        <v>#REF!</v>
      </c>
      <c r="C843" s="3" t="e">
        <v>#REF!</v>
      </c>
      <c r="D843" s="1" t="str">
        <f ca="1"/>
        <v/>
      </c>
    </row>
    <row r="844" spans="2:4" ht="12.75">
      <c r="B844" s="1" t="e">
        <v>#REF!</v>
      </c>
      <c r="C844" s="3" t="e">
        <v>#REF!</v>
      </c>
      <c r="D844" s="1" t="str">
        <f ca="1"/>
        <v/>
      </c>
    </row>
    <row r="845" spans="2:4" ht="12.75">
      <c r="B845" s="1" t="e">
        <v>#REF!</v>
      </c>
      <c r="C845" s="3" t="e">
        <v>#REF!</v>
      </c>
      <c r="D845" s="1" t="str">
        <f ca="1"/>
        <v/>
      </c>
    </row>
    <row r="846" spans="2:4" ht="12.75">
      <c r="B846" s="1" t="e">
        <v>#REF!</v>
      </c>
      <c r="C846" s="3" t="e">
        <v>#REF!</v>
      </c>
      <c r="D846" s="1" t="str">
        <f ca="1"/>
        <v/>
      </c>
    </row>
    <row r="847" spans="2:4" ht="12.75">
      <c r="B847" s="1" t="e">
        <v>#REF!</v>
      </c>
      <c r="C847" s="3" t="e">
        <v>#REF!</v>
      </c>
      <c r="D847" s="1" t="str">
        <f ca="1"/>
        <v/>
      </c>
    </row>
    <row r="848" spans="2:4" ht="12.75">
      <c r="D848" s="1" t="str">
        <f ca="1"/>
        <v/>
      </c>
    </row>
    <row r="849" spans="4:4" ht="12.75">
      <c r="D849" s="1" t="str">
        <f ca="1"/>
        <v/>
      </c>
    </row>
    <row r="850" spans="4:4" ht="12.75">
      <c r="D850" s="1" t="str">
        <f ca="1"/>
        <v/>
      </c>
    </row>
    <row r="851" spans="4:4" ht="12.75">
      <c r="D851" s="1" t="str">
        <f ca="1"/>
        <v/>
      </c>
    </row>
    <row r="852" spans="4:4" ht="12.75">
      <c r="D852" s="1" t="str">
        <f ca="1"/>
        <v/>
      </c>
    </row>
    <row r="853" spans="4:4" ht="12.75">
      <c r="D853" s="1" t="str">
        <f ca="1"/>
        <v/>
      </c>
    </row>
    <row r="854" spans="4:4" ht="12.75">
      <c r="D854" s="1" t="str">
        <f ca="1"/>
        <v/>
      </c>
    </row>
    <row r="855" spans="4:4" ht="12.75">
      <c r="D855" s="1" t="str">
        <f ca="1"/>
        <v/>
      </c>
    </row>
    <row r="856" spans="4:4" ht="12.75">
      <c r="D856" s="1" t="str">
        <f ca="1"/>
        <v/>
      </c>
    </row>
    <row r="857" spans="4:4" ht="12.75">
      <c r="D857" s="1" t="str">
        <f ca="1"/>
        <v/>
      </c>
    </row>
    <row r="858" spans="4:4" ht="12.75">
      <c r="D858" s="1" t="str">
        <f ca="1"/>
        <v/>
      </c>
    </row>
    <row r="859" spans="4:4" ht="12.75">
      <c r="D859" s="1" t="str">
        <f ca="1"/>
        <v/>
      </c>
    </row>
    <row r="860" spans="4:4" ht="12.75">
      <c r="D860" s="1" t="str">
        <f ca="1"/>
        <v/>
      </c>
    </row>
    <row r="861" spans="4:4" ht="12.75">
      <c r="D861" s="1" t="str">
        <f ca="1"/>
        <v/>
      </c>
    </row>
    <row r="862" spans="4:4" ht="12.75">
      <c r="D862" s="1" t="str">
        <f ca="1"/>
        <v/>
      </c>
    </row>
    <row r="863" spans="4:4" ht="12.75">
      <c r="D863" s="1" t="str">
        <f ca="1"/>
        <v/>
      </c>
    </row>
    <row r="864" spans="4:4" ht="12.75">
      <c r="D864" s="1" t="str">
        <f ca="1"/>
        <v/>
      </c>
    </row>
    <row r="865" spans="4:4" ht="12.75">
      <c r="D865" s="1" t="str">
        <f ca="1"/>
        <v/>
      </c>
    </row>
    <row r="866" spans="4:4" ht="12.75">
      <c r="D866" s="1" t="str">
        <f ca="1"/>
        <v/>
      </c>
    </row>
    <row r="867" spans="4:4" ht="12.75">
      <c r="D867" s="1" t="str">
        <f ca="1"/>
        <v/>
      </c>
    </row>
    <row r="868" spans="4:4" ht="12.75">
      <c r="D868" s="1" t="str">
        <f ca="1"/>
        <v/>
      </c>
    </row>
    <row r="869" spans="4:4" ht="12.75">
      <c r="D869" s="1" t="str">
        <f ca="1"/>
        <v/>
      </c>
    </row>
    <row r="870" spans="4:4" ht="12.75">
      <c r="D870" s="1" t="str">
        <f ca="1"/>
        <v/>
      </c>
    </row>
    <row r="871" spans="4:4" ht="12.75">
      <c r="D871" s="1" t="str">
        <f ca="1"/>
        <v/>
      </c>
    </row>
    <row r="872" spans="4:4" ht="12.75">
      <c r="D872" s="1" t="str">
        <f ca="1"/>
        <v/>
      </c>
    </row>
    <row r="873" spans="4:4" ht="12.75">
      <c r="D873" s="1" t="str">
        <f ca="1"/>
        <v/>
      </c>
    </row>
    <row r="874" spans="4:4" ht="12.75">
      <c r="D874" s="1" t="str">
        <f ca="1"/>
        <v/>
      </c>
    </row>
    <row r="875" spans="4:4" ht="12.75">
      <c r="D875" s="1" t="str">
        <f ca="1"/>
        <v/>
      </c>
    </row>
    <row r="876" spans="4:4" ht="12.75">
      <c r="D876" s="1" t="str">
        <f ca="1"/>
        <v/>
      </c>
    </row>
    <row r="877" spans="4:4" ht="12.75">
      <c r="D877" s="1" t="str">
        <f ca="1"/>
        <v/>
      </c>
    </row>
    <row r="878" spans="4:4" ht="12.75">
      <c r="D878" s="1" t="str">
        <f ca="1"/>
        <v/>
      </c>
    </row>
    <row r="879" spans="4:4" ht="12.75">
      <c r="D879" s="1" t="str">
        <f ca="1"/>
        <v/>
      </c>
    </row>
    <row r="880" spans="4:4" ht="12.75">
      <c r="D880" s="1" t="str">
        <f ca="1"/>
        <v/>
      </c>
    </row>
    <row r="881" spans="4:4" ht="12.75">
      <c r="D881" s="1" t="str">
        <f ca="1"/>
        <v/>
      </c>
    </row>
    <row r="882" spans="4:4" ht="12.75">
      <c r="D882" s="1" t="str">
        <f ca="1"/>
        <v/>
      </c>
    </row>
    <row r="883" spans="4:4" ht="12.75">
      <c r="D883" s="1" t="str">
        <f ca="1"/>
        <v/>
      </c>
    </row>
    <row r="884" spans="4:4" ht="12.75">
      <c r="D884" s="1" t="str">
        <f ca="1"/>
        <v/>
      </c>
    </row>
    <row r="885" spans="4:4" ht="12.75">
      <c r="D885" s="1" t="str">
        <f ca="1"/>
        <v/>
      </c>
    </row>
    <row r="886" spans="4:4" ht="12.75">
      <c r="D886" s="1" t="str">
        <f ca="1"/>
        <v/>
      </c>
    </row>
    <row r="887" spans="4:4" ht="12.75">
      <c r="D887" s="1" t="str">
        <f ca="1"/>
        <v/>
      </c>
    </row>
    <row r="888" spans="4:4" ht="12.75">
      <c r="D888" s="1" t="str">
        <f ca="1"/>
        <v/>
      </c>
    </row>
    <row r="889" spans="4:4" ht="12.75">
      <c r="D889" s="1" t="str">
        <f ca="1"/>
        <v/>
      </c>
    </row>
    <row r="890" spans="4:4" ht="12.75">
      <c r="D890" s="1" t="str">
        <f ca="1"/>
        <v/>
      </c>
    </row>
    <row r="891" spans="4:4" ht="12.75">
      <c r="D891" s="1" t="str">
        <f ca="1"/>
        <v/>
      </c>
    </row>
    <row r="892" spans="4:4" ht="12.75">
      <c r="D892" s="1" t="str">
        <f ca="1"/>
        <v/>
      </c>
    </row>
    <row r="893" spans="4:4" ht="12.75">
      <c r="D893" s="1" t="str">
        <f ca="1"/>
        <v/>
      </c>
    </row>
    <row r="894" spans="4:4" ht="12.75">
      <c r="D894" s="1" t="str">
        <f ca="1"/>
        <v/>
      </c>
    </row>
    <row r="895" spans="4:4" ht="12.75">
      <c r="D895" s="1" t="str">
        <f ca="1"/>
        <v/>
      </c>
    </row>
    <row r="896" spans="4:4" ht="12.75">
      <c r="D896" s="1" t="str">
        <f ca="1"/>
        <v/>
      </c>
    </row>
    <row r="897" spans="4:4" ht="12.75">
      <c r="D897" s="1" t="str">
        <f ca="1"/>
        <v/>
      </c>
    </row>
    <row r="898" spans="4:4" ht="12.75">
      <c r="D898" s="1" t="str">
        <f ca="1"/>
        <v/>
      </c>
    </row>
    <row r="899" spans="4:4" ht="12.75">
      <c r="D899" s="1" t="str">
        <f ca="1"/>
        <v/>
      </c>
    </row>
    <row r="900" spans="4:4" ht="12.75">
      <c r="D900" s="1" t="str">
        <f ca="1"/>
        <v/>
      </c>
    </row>
    <row r="901" spans="4:4" ht="12.75">
      <c r="D901" s="1" t="str">
        <f ca="1"/>
        <v/>
      </c>
    </row>
    <row r="902" spans="4:4" ht="12.75">
      <c r="D902" s="1" t="str">
        <f ca="1"/>
        <v/>
      </c>
    </row>
    <row r="903" spans="4:4" ht="12.75">
      <c r="D903" s="1" t="str">
        <f ca="1"/>
        <v/>
      </c>
    </row>
    <row r="904" spans="4:4" ht="12.75">
      <c r="D904" s="1" t="str">
        <f ca="1"/>
        <v/>
      </c>
    </row>
    <row r="905" spans="4:4" ht="12.75">
      <c r="D905" s="1" t="str">
        <f ca="1"/>
        <v/>
      </c>
    </row>
    <row r="906" spans="4:4" ht="12.75">
      <c r="D906" s="1" t="str">
        <f ca="1"/>
        <v/>
      </c>
    </row>
    <row r="907" spans="4:4" ht="12.75">
      <c r="D907" s="1" t="str">
        <f ca="1"/>
        <v/>
      </c>
    </row>
    <row r="908" spans="4:4" ht="12.75">
      <c r="D908" s="1" t="str">
        <f ca="1"/>
        <v/>
      </c>
    </row>
    <row r="909" spans="4:4" ht="12.75">
      <c r="D909" s="1" t="str">
        <f ca="1"/>
        <v/>
      </c>
    </row>
    <row r="910" spans="4:4" ht="12.75">
      <c r="D910" s="1" t="str">
        <f ca="1"/>
        <v/>
      </c>
    </row>
    <row r="911" spans="4:4" ht="12.75">
      <c r="D911" s="1" t="str">
        <f ca="1"/>
        <v/>
      </c>
    </row>
    <row r="912" spans="4:4" ht="12.75">
      <c r="D912" s="1" t="str">
        <f ca="1"/>
        <v/>
      </c>
    </row>
    <row r="913" spans="4:4" ht="12.75">
      <c r="D913" s="1" t="str">
        <f ca="1"/>
        <v/>
      </c>
    </row>
    <row r="914" spans="4:4" ht="12.75">
      <c r="D914" s="1" t="str">
        <f ca="1"/>
        <v/>
      </c>
    </row>
    <row r="915" spans="4:4" ht="12.75">
      <c r="D915" s="1" t="str">
        <f ca="1"/>
        <v/>
      </c>
    </row>
    <row r="916" spans="4:4" ht="12.75">
      <c r="D916" s="1" t="str">
        <f ca="1"/>
        <v/>
      </c>
    </row>
    <row r="917" spans="4:4" ht="12.75">
      <c r="D917" s="1" t="str">
        <f ca="1"/>
        <v/>
      </c>
    </row>
    <row r="918" spans="4:4" ht="12.75">
      <c r="D918" s="1" t="str">
        <f ca="1"/>
        <v/>
      </c>
    </row>
    <row r="919" spans="4:4" ht="12.75">
      <c r="D919" s="1" t="str">
        <f ca="1"/>
        <v/>
      </c>
    </row>
    <row r="920" spans="4:4" ht="12.75">
      <c r="D920" s="1" t="str">
        <f ca="1"/>
        <v/>
      </c>
    </row>
    <row r="921" spans="4:4" ht="12.75">
      <c r="D921" s="1" t="str">
        <f ca="1"/>
        <v/>
      </c>
    </row>
    <row r="922" spans="4:4" ht="12.75">
      <c r="D922" s="1" t="str">
        <f ca="1"/>
        <v/>
      </c>
    </row>
    <row r="923" spans="4:4" ht="12.75">
      <c r="D923" s="1" t="str">
        <f ca="1"/>
        <v/>
      </c>
    </row>
    <row r="924" spans="4:4" ht="12.75">
      <c r="D924" s="1" t="str">
        <f ca="1"/>
        <v/>
      </c>
    </row>
    <row r="925" spans="4:4" ht="12.75">
      <c r="D925" s="1" t="str">
        <f ca="1"/>
        <v/>
      </c>
    </row>
    <row r="926" spans="4:4" ht="12.75">
      <c r="D926" s="1" t="str">
        <f ca="1"/>
        <v/>
      </c>
    </row>
    <row r="927" spans="4:4" ht="12.75">
      <c r="D927" s="1" t="str">
        <f ca="1"/>
        <v/>
      </c>
    </row>
    <row r="928" spans="4:4" ht="12.75">
      <c r="D928" s="1" t="str">
        <f ca="1"/>
        <v/>
      </c>
    </row>
    <row r="929" spans="4:4" ht="12.75">
      <c r="D929" s="1" t="str">
        <f ca="1"/>
        <v/>
      </c>
    </row>
    <row r="930" spans="4:4" ht="12.75">
      <c r="D930" s="1" t="str">
        <f ca="1"/>
        <v/>
      </c>
    </row>
    <row r="931" spans="4:4" ht="12.75">
      <c r="D931" s="1" t="str">
        <f ca="1"/>
        <v/>
      </c>
    </row>
    <row r="932" spans="4:4" ht="12.75">
      <c r="D932" s="1" t="str">
        <f ca="1"/>
        <v/>
      </c>
    </row>
    <row r="933" spans="4:4" ht="12.75">
      <c r="D933" s="1" t="str">
        <f ca="1"/>
        <v/>
      </c>
    </row>
    <row r="934" spans="4:4" ht="12.75">
      <c r="D934" s="1" t="str">
        <f ca="1"/>
        <v/>
      </c>
    </row>
    <row r="935" spans="4:4" ht="12.75">
      <c r="D935" s="1" t="str">
        <f ca="1"/>
        <v/>
      </c>
    </row>
    <row r="936" spans="4:4" ht="12.75">
      <c r="D936" s="1" t="str">
        <f ca="1"/>
        <v/>
      </c>
    </row>
    <row r="937" spans="4:4" ht="12.75">
      <c r="D937" s="1" t="str">
        <f ca="1"/>
        <v/>
      </c>
    </row>
    <row r="938" spans="4:4" ht="12.75">
      <c r="D938" s="1" t="str">
        <f ca="1"/>
        <v/>
      </c>
    </row>
    <row r="939" spans="4:4" ht="12.75">
      <c r="D939" s="1" t="str">
        <f ca="1"/>
        <v/>
      </c>
    </row>
    <row r="940" spans="4:4" ht="12.75">
      <c r="D940" s="1" t="str">
        <f ca="1"/>
        <v/>
      </c>
    </row>
    <row r="941" spans="4:4" ht="12.75">
      <c r="D941" s="1" t="str">
        <f ca="1"/>
        <v/>
      </c>
    </row>
    <row r="942" spans="4:4" ht="12.75">
      <c r="D942" s="1" t="str">
        <f ca="1"/>
        <v/>
      </c>
    </row>
    <row r="943" spans="4:4" ht="12.75">
      <c r="D943" s="1" t="str">
        <f ca="1"/>
        <v/>
      </c>
    </row>
    <row r="944" spans="4:4" ht="12.75">
      <c r="D944" s="1" t="str">
        <f ca="1"/>
        <v/>
      </c>
    </row>
    <row r="945" spans="4:4" ht="12.75">
      <c r="D945" s="1" t="str">
        <f ca="1"/>
        <v/>
      </c>
    </row>
    <row r="946" spans="4:4" ht="12.75">
      <c r="D946" s="1" t="str">
        <f ca="1"/>
        <v/>
      </c>
    </row>
    <row r="947" spans="4:4" ht="12.75">
      <c r="D947" s="1" t="str">
        <f ca="1"/>
        <v/>
      </c>
    </row>
    <row r="948" spans="4:4" ht="12.75">
      <c r="D948" s="1" t="str">
        <f ca="1"/>
        <v/>
      </c>
    </row>
    <row r="949" spans="4:4" ht="12.75">
      <c r="D949" s="1" t="str">
        <f ca="1"/>
        <v/>
      </c>
    </row>
    <row r="950" spans="4:4" ht="12.75">
      <c r="D950" s="1" t="str">
        <f ca="1"/>
        <v/>
      </c>
    </row>
    <row r="951" spans="4:4" ht="12.75">
      <c r="D951" s="1" t="str">
        <f ca="1"/>
        <v/>
      </c>
    </row>
    <row r="952" spans="4:4" ht="12.75">
      <c r="D952" s="1" t="str">
        <f ca="1"/>
        <v/>
      </c>
    </row>
    <row r="953" spans="4:4" ht="12.75">
      <c r="D953" s="1" t="str">
        <f ca="1"/>
        <v/>
      </c>
    </row>
    <row r="954" spans="4:4" ht="12.75">
      <c r="D954" s="1" t="str">
        <f ca="1"/>
        <v/>
      </c>
    </row>
    <row r="955" spans="4:4" ht="12.75">
      <c r="D955" s="1" t="str">
        <f ca="1"/>
        <v/>
      </c>
    </row>
    <row r="956" spans="4:4" ht="12.75">
      <c r="D956" s="1" t="str">
        <f ca="1"/>
        <v/>
      </c>
    </row>
    <row r="957" spans="4:4" ht="12.75">
      <c r="D957" s="1" t="str">
        <f ca="1"/>
        <v/>
      </c>
    </row>
    <row r="958" spans="4:4" ht="12.75">
      <c r="D958" s="1" t="str">
        <f ca="1"/>
        <v/>
      </c>
    </row>
    <row r="959" spans="4:4" ht="12.75">
      <c r="D959" s="1" t="str">
        <f ca="1"/>
        <v/>
      </c>
    </row>
    <row r="960" spans="4:4" ht="12.75">
      <c r="D960" s="1" t="str">
        <f ca="1"/>
        <v/>
      </c>
    </row>
    <row r="961" spans="4:4" ht="12.75">
      <c r="D961" s="1" t="str">
        <f ca="1"/>
        <v/>
      </c>
    </row>
    <row r="962" spans="4:4" ht="12.75">
      <c r="D962" s="1" t="str">
        <f ca="1"/>
        <v/>
      </c>
    </row>
    <row r="963" spans="4:4" ht="12.75">
      <c r="D963" s="1" t="str">
        <f ca="1"/>
        <v/>
      </c>
    </row>
    <row r="964" spans="4:4" ht="12.75">
      <c r="D964" s="1" t="str">
        <f ca="1"/>
        <v/>
      </c>
    </row>
    <row r="965" spans="4:4" ht="12.75">
      <c r="D965" s="1" t="str">
        <f ca="1"/>
        <v/>
      </c>
    </row>
    <row r="966" spans="4:4" ht="12.75">
      <c r="D966" s="1" t="str">
        <f ca="1"/>
        <v/>
      </c>
    </row>
    <row r="967" spans="4:4" ht="12.75">
      <c r="D967" s="1" t="str">
        <f ca="1"/>
        <v/>
      </c>
    </row>
    <row r="968" spans="4:4" ht="12.75">
      <c r="D968" s="1" t="str">
        <f ca="1"/>
        <v/>
      </c>
    </row>
    <row r="969" spans="4:4" ht="12.75">
      <c r="D969" s="1" t="str">
        <f ca="1"/>
        <v/>
      </c>
    </row>
    <row r="970" spans="4:4" ht="12.75">
      <c r="D970" s="1" t="str">
        <f ca="1"/>
        <v/>
      </c>
    </row>
    <row r="971" spans="4:4" ht="12.75">
      <c r="D971" s="1" t="str">
        <f ca="1"/>
        <v/>
      </c>
    </row>
    <row r="972" spans="4:4" ht="12.75">
      <c r="D972" s="1" t="str">
        <f ca="1"/>
        <v/>
      </c>
    </row>
    <row r="973" spans="4:4" ht="12.75">
      <c r="D973" s="1" t="str">
        <f ca="1"/>
        <v/>
      </c>
    </row>
    <row r="974" spans="4:4" ht="12.75">
      <c r="D974" s="1" t="str">
        <f ca="1"/>
        <v/>
      </c>
    </row>
    <row r="975" spans="4:4" ht="12.75">
      <c r="D975" s="1" t="str">
        <f ca="1"/>
        <v/>
      </c>
    </row>
    <row r="976" spans="4:4" ht="12.75">
      <c r="D976" s="1" t="str">
        <f ca="1"/>
        <v/>
      </c>
    </row>
    <row r="977" spans="4:4" ht="12.75">
      <c r="D977" s="1" t="str">
        <f ca="1"/>
        <v/>
      </c>
    </row>
    <row r="978" spans="4:4" ht="12.75">
      <c r="D978" s="1" t="str">
        <f ca="1"/>
        <v/>
      </c>
    </row>
    <row r="979" spans="4:4" ht="12.75">
      <c r="D979" s="1" t="str">
        <f ca="1"/>
        <v/>
      </c>
    </row>
    <row r="980" spans="4:4" ht="12.75">
      <c r="D980" s="1" t="str">
        <f ca="1"/>
        <v/>
      </c>
    </row>
    <row r="981" spans="4:4" ht="12.75">
      <c r="D981" s="1" t="str">
        <f ca="1"/>
        <v/>
      </c>
    </row>
    <row r="982" spans="4:4" ht="12.75">
      <c r="D982" s="1" t="str">
        <f ca="1"/>
        <v/>
      </c>
    </row>
    <row r="983" spans="4:4" ht="12.75">
      <c r="D983" s="1" t="str">
        <f ca="1"/>
        <v/>
      </c>
    </row>
    <row r="984" spans="4:4" ht="12.75">
      <c r="D984" s="1" t="str">
        <f ca="1"/>
        <v/>
      </c>
    </row>
    <row r="985" spans="4:4" ht="12.75">
      <c r="D985" s="1" t="str">
        <f ca="1"/>
        <v/>
      </c>
    </row>
    <row r="986" spans="4:4" ht="12.75">
      <c r="D986" s="1" t="str">
        <f ca="1"/>
        <v/>
      </c>
    </row>
    <row r="987" spans="4:4" ht="12.75">
      <c r="D987" s="1" t="str">
        <f ca="1"/>
        <v/>
      </c>
    </row>
    <row r="988" spans="4:4" ht="12.75">
      <c r="D988" s="1" t="str">
        <f ca="1"/>
        <v/>
      </c>
    </row>
    <row r="989" spans="4:4" ht="12.75">
      <c r="D989" s="1" t="str">
        <f ca="1"/>
        <v/>
      </c>
    </row>
    <row r="990" spans="4:4" ht="12.75">
      <c r="D990" s="1" t="str">
        <f ca="1"/>
        <v/>
      </c>
    </row>
    <row r="991" spans="4:4" ht="12.75">
      <c r="D991" s="1" t="str">
        <f ca="1"/>
        <v/>
      </c>
    </row>
    <row r="992" spans="4:4" ht="12.75">
      <c r="D992" s="1" t="str">
        <f ca="1"/>
        <v/>
      </c>
    </row>
    <row r="993" spans="4:4" ht="12.75">
      <c r="D993" s="1" t="str">
        <f ca="1"/>
        <v/>
      </c>
    </row>
    <row r="994" spans="4:4" ht="12.75">
      <c r="D994" s="1" t="str">
        <f ca="1"/>
        <v/>
      </c>
    </row>
    <row r="995" spans="4:4" ht="12.75">
      <c r="D995" s="1" t="str">
        <f ca="1"/>
        <v/>
      </c>
    </row>
    <row r="996" spans="4:4" ht="12.75">
      <c r="D996" s="1" t="str">
        <f ca="1"/>
        <v/>
      </c>
    </row>
    <row r="997" spans="4:4" ht="12.75">
      <c r="D997" s="1" t="str">
        <f ca="1"/>
        <v/>
      </c>
    </row>
    <row r="998" spans="4:4" ht="12.75">
      <c r="D998" s="1" t="str">
        <f ca="1"/>
        <v/>
      </c>
    </row>
    <row r="999" spans="4:4" ht="12.75">
      <c r="D999" s="1" t="str">
        <f ca="1"/>
        <v/>
      </c>
    </row>
    <row r="1000" spans="4:4" ht="12.75">
      <c r="D1000" s="1" t="str">
        <f ca="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N162"/>
  <sheetViews>
    <sheetView tabSelected="1" zoomScale="145" zoomScaleNormal="145" workbookViewId="0">
      <selection activeCell="C10" sqref="C10"/>
    </sheetView>
  </sheetViews>
  <sheetFormatPr defaultColWidth="14.42578125" defaultRowHeight="15.75" customHeight="1"/>
  <cols>
    <col min="2" max="2" width="26.85546875" customWidth="1"/>
    <col min="3" max="3" width="61.7109375" customWidth="1"/>
    <col min="26" max="40" width="25.42578125" customWidth="1"/>
  </cols>
  <sheetData>
    <row r="1" spans="1:40" ht="14.25"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8" t="s">
        <v>34</v>
      </c>
      <c r="T1" s="8" t="s">
        <v>35</v>
      </c>
      <c r="U1" s="8" t="s">
        <v>36</v>
      </c>
      <c r="V1" s="8" t="s">
        <v>37</v>
      </c>
      <c r="W1" s="8" t="s">
        <v>38</v>
      </c>
      <c r="X1" s="9" t="s">
        <v>39</v>
      </c>
      <c r="Y1" s="9" t="s">
        <v>40</v>
      </c>
      <c r="Z1" s="9" t="s">
        <v>41</v>
      </c>
      <c r="AA1" s="9" t="s">
        <v>42</v>
      </c>
      <c r="AB1" s="10" t="s">
        <v>43</v>
      </c>
      <c r="AC1" s="10" t="s">
        <v>44</v>
      </c>
      <c r="AD1" s="10" t="s">
        <v>45</v>
      </c>
      <c r="AE1" s="10" t="s">
        <v>46</v>
      </c>
      <c r="AF1" s="10" t="s">
        <v>47</v>
      </c>
      <c r="AG1" s="11" t="s">
        <v>48</v>
      </c>
      <c r="AH1" s="11" t="s">
        <v>49</v>
      </c>
      <c r="AI1" s="11" t="s">
        <v>50</v>
      </c>
      <c r="AJ1" s="11" t="s">
        <v>51</v>
      </c>
      <c r="AK1" s="12" t="s">
        <v>52</v>
      </c>
      <c r="AL1" s="12" t="s">
        <v>53</v>
      </c>
      <c r="AM1" s="12" t="s">
        <v>54</v>
      </c>
      <c r="AN1" s="12" t="s">
        <v>55</v>
      </c>
    </row>
    <row r="2" spans="1:40" ht="14.25">
      <c r="A2" s="13"/>
      <c r="B2" s="13"/>
      <c r="C2" s="13"/>
      <c r="D2" s="14">
        <v>46143</v>
      </c>
      <c r="E2" s="15">
        <v>46150</v>
      </c>
      <c r="F2" s="15">
        <v>46157</v>
      </c>
      <c r="G2" s="15">
        <v>46164</v>
      </c>
      <c r="H2" s="15">
        <v>46171</v>
      </c>
      <c r="I2" s="16">
        <v>46174</v>
      </c>
      <c r="J2" s="16">
        <v>46181</v>
      </c>
      <c r="K2" s="16">
        <v>46188</v>
      </c>
      <c r="L2" s="16">
        <v>46195</v>
      </c>
      <c r="M2" s="16">
        <v>46202</v>
      </c>
      <c r="N2" s="17">
        <v>46204</v>
      </c>
      <c r="O2" s="17">
        <v>46211</v>
      </c>
      <c r="P2" s="17">
        <v>46218</v>
      </c>
      <c r="Q2" s="17">
        <v>46225</v>
      </c>
      <c r="R2" s="17">
        <v>46232</v>
      </c>
      <c r="S2" s="18">
        <v>46235</v>
      </c>
      <c r="T2" s="18">
        <v>46242</v>
      </c>
      <c r="U2" s="18">
        <v>46249</v>
      </c>
      <c r="V2" s="18">
        <v>46256</v>
      </c>
      <c r="W2" s="18">
        <v>46263</v>
      </c>
      <c r="X2" s="19">
        <v>46270</v>
      </c>
      <c r="Y2" s="19">
        <v>46277</v>
      </c>
      <c r="Z2" s="19">
        <v>46284</v>
      </c>
      <c r="AA2" s="19">
        <v>46291</v>
      </c>
      <c r="AB2" s="20">
        <v>46298</v>
      </c>
      <c r="AC2" s="20">
        <v>46305</v>
      </c>
      <c r="AD2" s="20">
        <v>46312</v>
      </c>
      <c r="AE2" s="20">
        <v>46319</v>
      </c>
      <c r="AF2" s="20">
        <v>46326</v>
      </c>
      <c r="AG2" s="21">
        <v>46333</v>
      </c>
      <c r="AH2" s="21">
        <v>46340</v>
      </c>
      <c r="AI2" s="21">
        <v>46347</v>
      </c>
      <c r="AJ2" s="21">
        <v>46354</v>
      </c>
      <c r="AK2" s="22">
        <v>46361</v>
      </c>
      <c r="AL2" s="22">
        <v>46368</v>
      </c>
      <c r="AM2" s="22">
        <v>46375</v>
      </c>
      <c r="AN2" s="22">
        <v>46382</v>
      </c>
    </row>
    <row r="3" spans="1:40" ht="12.75">
      <c r="A3" s="38" t="s">
        <v>58</v>
      </c>
      <c r="B3" s="13" t="str">
        <f ca="1">IFERROR(__xludf.UNSUPPORTED("INDEX(
  SORT(FILTER({PROJECTS!A:A, PROJECTS!D:D}, PROJECTS!E:E = A3), 2, TRUE),
  ,
  1
)"),"RMS24002")</f>
        <v>RMS24002</v>
      </c>
      <c r="C3" s="13" t="str">
        <f ca="1">IFERROR(__xludf.UNSUPPORTED("INDEX(
  SORT(FILTER({PROJECTS!C:C, PROJECTS!D:D}, PROJECTS!E:E = A3), 2, TRUE),
  ,
  1
)"),"Richard Bard Elementary School HVAC, Electrical &amp; Fire Alarm")</f>
        <v>Richard Bard Elementary School HVAC, Electrical &amp; Fire Alarm</v>
      </c>
      <c r="D3" s="23"/>
      <c r="E3" s="23"/>
      <c r="F3" s="23"/>
      <c r="G3" s="23"/>
      <c r="H3" s="23">
        <v>40</v>
      </c>
      <c r="I3" s="34">
        <v>40</v>
      </c>
      <c r="J3" s="34"/>
      <c r="K3" s="34"/>
      <c r="L3" s="34"/>
      <c r="M3" s="34">
        <v>40</v>
      </c>
      <c r="N3" s="35"/>
      <c r="O3" s="35"/>
      <c r="P3" s="35"/>
      <c r="Q3" s="35"/>
      <c r="R3" s="35">
        <v>40</v>
      </c>
      <c r="S3" s="36"/>
      <c r="T3" s="36"/>
      <c r="U3" s="36"/>
      <c r="V3" s="36"/>
      <c r="W3" s="36">
        <v>40</v>
      </c>
      <c r="X3" s="37"/>
      <c r="Y3" s="37"/>
      <c r="Z3" s="37"/>
      <c r="AA3" s="37"/>
    </row>
    <row r="4" spans="1:40" ht="12.75">
      <c r="A4" s="38" t="s">
        <v>58</v>
      </c>
      <c r="B4" s="13" t="str">
        <f ca="1">IFERROR(__xludf.UNSUPPORTED("""COMPUTED_VALUE"""),"ATS25006")</f>
        <v>ATS25006</v>
      </c>
      <c r="C4" s="13" t="str">
        <f ca="1">IFERROR(__xludf.UNSUPPORTED("""COMPUTED_VALUE"""),"RHCA Headquarters Renovation")</f>
        <v>RHCA Headquarters Renovation</v>
      </c>
      <c r="D4" s="23"/>
      <c r="E4" s="23"/>
      <c r="F4" s="23"/>
      <c r="G4" s="23"/>
      <c r="H4" s="23"/>
      <c r="I4" s="34"/>
      <c r="J4" s="34"/>
      <c r="K4" s="34"/>
      <c r="L4" s="34"/>
      <c r="M4" s="34"/>
      <c r="N4" s="35"/>
      <c r="O4" s="35"/>
      <c r="P4" s="35"/>
      <c r="Q4" s="35"/>
      <c r="R4" s="35"/>
      <c r="S4" s="36"/>
      <c r="T4" s="36"/>
      <c r="U4" s="36"/>
      <c r="V4" s="36"/>
      <c r="W4" s="36"/>
      <c r="X4" s="37"/>
      <c r="Y4" s="37"/>
      <c r="Z4" s="37"/>
      <c r="AA4" s="37"/>
    </row>
    <row r="5" spans="1:40" ht="12.75">
      <c r="A5" s="38" t="s">
        <v>58</v>
      </c>
      <c r="B5" s="13" t="str">
        <f ca="1">IFERROR(__xludf.UNSUPPORTED("""COMPUTED_VALUE"""),"SBE25009")</f>
        <v>SBE25009</v>
      </c>
      <c r="C5" s="13" t="str">
        <f ca="1">IFERROR(__xludf.UNSUPPORTED("""COMPUTED_VALUE"""),"Hot Water Phase 2 - Greenhouses")</f>
        <v>Hot Water Phase 2 - Greenhouses</v>
      </c>
      <c r="D5" s="23"/>
      <c r="E5" s="23"/>
      <c r="F5" s="23"/>
      <c r="G5" s="23"/>
      <c r="H5" s="23"/>
      <c r="I5" s="34"/>
      <c r="J5" s="34"/>
      <c r="K5" s="34"/>
      <c r="L5" s="34"/>
      <c r="M5" s="34"/>
      <c r="N5" s="35"/>
      <c r="O5" s="35"/>
      <c r="P5" s="35"/>
      <c r="Q5" s="35"/>
      <c r="R5" s="35"/>
      <c r="S5" s="36"/>
      <c r="T5" s="36"/>
      <c r="U5" s="36"/>
      <c r="V5" s="36"/>
      <c r="W5" s="36"/>
      <c r="X5" s="37"/>
      <c r="Y5" s="37"/>
      <c r="Z5" s="37"/>
      <c r="AA5" s="37"/>
    </row>
    <row r="6" spans="1:40" ht="12.75">
      <c r="A6" s="38" t="s">
        <v>58</v>
      </c>
      <c r="B6" s="13" t="str">
        <f ca="1">IFERROR(__xludf.UNSUPPORTED("""COMPUTED_VALUE"""),"NC25001")</f>
        <v>NC25001</v>
      </c>
      <c r="C6" s="13" t="str">
        <f ca="1">IFERROR(__xludf.UNSUPPORTED("""COMPUTED_VALUE"""),"CTE Building Modernization - Umatilla")</f>
        <v>CTE Building Modernization - Umatilla</v>
      </c>
      <c r="D6" s="23"/>
      <c r="E6" s="23"/>
      <c r="F6" s="23"/>
      <c r="G6" s="23"/>
      <c r="H6" s="23"/>
      <c r="I6" s="34"/>
      <c r="J6" s="34"/>
      <c r="K6" s="34"/>
      <c r="L6" s="34"/>
      <c r="M6" s="34"/>
      <c r="N6" s="35"/>
      <c r="O6" s="35"/>
      <c r="P6" s="35"/>
      <c r="Q6" s="35"/>
      <c r="R6" s="35"/>
      <c r="S6" s="36"/>
      <c r="T6" s="36"/>
      <c r="U6" s="36"/>
      <c r="V6" s="36"/>
      <c r="W6" s="36"/>
      <c r="X6" s="37"/>
      <c r="Y6" s="37"/>
      <c r="Z6" s="37"/>
      <c r="AA6" s="37"/>
    </row>
    <row r="7" spans="1:40" ht="12.75">
      <c r="A7" s="38" t="s">
        <v>58</v>
      </c>
      <c r="B7" s="13" t="str">
        <f ca="1">IFERROR(__xludf.UNSUPPORTED("""COMPUTED_VALUE"""),"PRE25003")</f>
        <v>PRE25003</v>
      </c>
      <c r="C7" s="13" t="str">
        <f ca="1">IFERROR(__xludf.UNSUPPORTED("""COMPUTED_VALUE"""),"325 Eastlake")</f>
        <v>325 Eastlake</v>
      </c>
      <c r="D7" s="23"/>
      <c r="E7" s="23"/>
      <c r="F7" s="23"/>
      <c r="G7" s="23"/>
      <c r="H7" s="23"/>
      <c r="I7" s="34"/>
      <c r="J7" s="34"/>
      <c r="K7" s="34"/>
      <c r="L7" s="34"/>
      <c r="M7" s="34"/>
      <c r="N7" s="35"/>
      <c r="O7" s="35"/>
      <c r="P7" s="35"/>
      <c r="Q7" s="35"/>
      <c r="R7" s="35"/>
      <c r="S7" s="36"/>
      <c r="T7" s="36"/>
      <c r="U7" s="36"/>
      <c r="V7" s="36"/>
      <c r="W7" s="36"/>
      <c r="X7" s="37"/>
      <c r="Y7" s="37"/>
      <c r="Z7" s="37"/>
      <c r="AA7" s="37"/>
    </row>
    <row r="8" spans="1:40" ht="12.75">
      <c r="A8" s="38" t="s">
        <v>58</v>
      </c>
      <c r="B8" s="13" t="str">
        <f ca="1">IFERROR(__xludf.UNSUPPORTED("""COMPUTED_VALUE"""),"CESC25003")</f>
        <v>CESC25003</v>
      </c>
      <c r="C8" s="13" t="str">
        <f ca="1">IFERROR(__xludf.UNSUPPORTED("""COMPUTED_VALUE"""),"Catlin Gabel School")</f>
        <v>Catlin Gabel School</v>
      </c>
      <c r="D8" s="23" t="s">
        <v>56</v>
      </c>
      <c r="E8" s="23"/>
      <c r="F8" s="23"/>
      <c r="G8" s="23"/>
      <c r="H8" s="23"/>
      <c r="I8" s="34"/>
      <c r="J8" s="34"/>
      <c r="K8" s="34"/>
      <c r="L8" s="34"/>
      <c r="M8" s="34"/>
      <c r="N8" s="35"/>
      <c r="O8" s="35"/>
      <c r="P8" s="35"/>
      <c r="Q8" s="35"/>
      <c r="R8" s="35"/>
      <c r="S8" s="36"/>
      <c r="T8" s="36"/>
      <c r="U8" s="36"/>
      <c r="V8" s="36"/>
      <c r="W8" s="36"/>
      <c r="X8" s="37"/>
      <c r="Y8" s="37"/>
      <c r="Z8" s="37"/>
      <c r="AA8" s="37"/>
    </row>
    <row r="9" spans="1:40" ht="12.75">
      <c r="A9" s="38" t="s">
        <v>58</v>
      </c>
      <c r="B9" s="13" t="str">
        <f ca="1">IFERROR(__xludf.UNSUPPORTED("""COMPUTED_VALUE"""),"ATS25009
")</f>
        <v xml:space="preserve">ATS25009
</v>
      </c>
      <c r="C9" s="13" t="str">
        <f ca="1">IFERROR(__xludf.UNSUPPORTED("""COMPUTED_VALUE"""),"Seton Medical Center Austin Electrical Infrastructure
")</f>
        <v xml:space="preserve">Seton Medical Center Austin Electrical Infrastructure
</v>
      </c>
      <c r="D9" s="23" t="s">
        <v>56</v>
      </c>
      <c r="E9" s="23"/>
      <c r="F9" s="23"/>
      <c r="G9" s="23"/>
      <c r="H9" s="23"/>
      <c r="I9" s="34"/>
      <c r="J9" s="34"/>
      <c r="K9" s="34"/>
      <c r="L9" s="34"/>
      <c r="M9" s="34"/>
      <c r="N9" s="35"/>
      <c r="O9" s="35"/>
      <c r="P9" s="35"/>
      <c r="Q9" s="35"/>
      <c r="R9" s="35"/>
      <c r="S9" s="36"/>
      <c r="T9" s="36"/>
      <c r="U9" s="36"/>
      <c r="V9" s="36"/>
      <c r="W9" s="36"/>
      <c r="X9" s="37"/>
      <c r="Y9" s="37"/>
      <c r="Z9" s="37"/>
      <c r="AA9" s="37"/>
    </row>
    <row r="10" spans="1:40" ht="12.75">
      <c r="A10" s="38" t="s">
        <v>58</v>
      </c>
      <c r="B10" s="13" t="str">
        <f ca="1">IFERROR(__xludf.UNSUPPORTED("""COMPUTED_VALUE"""),"CESC25005")</f>
        <v>CESC25005</v>
      </c>
      <c r="C10" s="13" t="str">
        <f ca="1">IFERROR(__xludf.UNSUPPORTED("""COMPUTED_VALUE"""),"Warm Springs Commissary
")</f>
        <v xml:space="preserve">Warm Springs Commissary
</v>
      </c>
      <c r="D10" s="23" t="s">
        <v>56</v>
      </c>
      <c r="E10" s="23"/>
      <c r="F10" s="23"/>
      <c r="G10" s="23"/>
      <c r="H10" s="23"/>
      <c r="I10" s="34"/>
      <c r="J10" s="34"/>
      <c r="K10" s="34"/>
      <c r="L10" s="34"/>
      <c r="M10" s="34"/>
      <c r="N10" s="35"/>
      <c r="O10" s="35"/>
      <c r="P10" s="35"/>
      <c r="Q10" s="35"/>
      <c r="R10" s="35"/>
      <c r="S10" s="36"/>
      <c r="T10" s="36"/>
      <c r="U10" s="36"/>
      <c r="V10" s="36"/>
      <c r="W10" s="36"/>
      <c r="X10" s="37"/>
      <c r="Y10" s="37"/>
      <c r="Z10" s="37"/>
      <c r="AA10" s="37"/>
    </row>
    <row r="11" spans="1:40" ht="12.75">
      <c r="A11" s="38" t="s">
        <v>58</v>
      </c>
      <c r="B11" s="13" t="str">
        <f ca="1">IFERROR(__xludf.UNSUPPORTED("""COMPUTED_VALUE"""),"CEI25002")</f>
        <v>CEI25002</v>
      </c>
      <c r="C11" s="13" t="str">
        <f ca="1">IFERROR(__xludf.UNSUPPORTED("""COMPUTED_VALUE"""),"WHARF 2 Generator Site Work-Concord")</f>
        <v>WHARF 2 Generator Site Work-Concord</v>
      </c>
      <c r="D11" s="23" t="s">
        <v>56</v>
      </c>
      <c r="E11" s="23"/>
      <c r="F11" s="23"/>
      <c r="G11" s="23"/>
      <c r="H11" s="23"/>
      <c r="I11" s="34"/>
      <c r="J11" s="34"/>
      <c r="K11" s="34"/>
      <c r="L11" s="34"/>
      <c r="M11" s="34"/>
      <c r="N11" s="35"/>
      <c r="O11" s="35"/>
      <c r="P11" s="35"/>
      <c r="Q11" s="35"/>
      <c r="R11" s="35"/>
      <c r="S11" s="36"/>
      <c r="T11" s="36"/>
      <c r="U11" s="36"/>
      <c r="V11" s="36"/>
      <c r="W11" s="36"/>
      <c r="X11" s="37"/>
      <c r="Y11" s="37"/>
      <c r="Z11" s="37"/>
      <c r="AA11" s="37"/>
    </row>
    <row r="12" spans="1:40" ht="12.75">
      <c r="A12" s="38" t="s">
        <v>58</v>
      </c>
      <c r="B12" s="13" t="str">
        <f ca="1">IFERROR(__xludf.UNSUPPORTED("""COMPUTED_VALUE"""),"EPS25007")</f>
        <v>EPS25007</v>
      </c>
      <c r="C12" s="13" t="str">
        <f ca="1">IFERROR(__xludf.UNSUPPORTED("""COMPUTED_VALUE"""),"Hall of Records")</f>
        <v>Hall of Records</v>
      </c>
      <c r="D12" s="23">
        <v>40</v>
      </c>
      <c r="E12" s="23"/>
      <c r="F12" s="23"/>
      <c r="G12" s="23"/>
      <c r="H12" s="23"/>
      <c r="I12" s="34">
        <v>40</v>
      </c>
      <c r="J12" s="34"/>
      <c r="K12" s="34"/>
      <c r="L12" s="34"/>
      <c r="M12" s="34"/>
      <c r="N12" s="35">
        <v>40</v>
      </c>
      <c r="O12" s="35"/>
      <c r="P12" s="35"/>
      <c r="Q12" s="35"/>
      <c r="R12" s="35"/>
      <c r="S12" s="36">
        <v>40</v>
      </c>
      <c r="T12" s="36"/>
      <c r="U12" s="36"/>
      <c r="V12" s="36"/>
      <c r="W12" s="36"/>
      <c r="X12" s="37">
        <v>40</v>
      </c>
      <c r="Y12" s="37"/>
      <c r="Z12" s="37"/>
      <c r="AA12" s="37"/>
    </row>
    <row r="13" spans="1:40" ht="12.75">
      <c r="A13" s="38" t="s">
        <v>58</v>
      </c>
      <c r="B13" s="13" t="str">
        <f ca="1">IFERROR(__xludf.UNSUPPORTED("""COMPUTED_VALUE"""),"EPS25008")</f>
        <v>EPS25008</v>
      </c>
      <c r="C13" s="13" t="str">
        <f ca="1">IFERROR(__xludf.UNSUPPORTED("""COMPUTED_VALUE"""),"Reedly College AF Study")</f>
        <v>Reedly College AF Study</v>
      </c>
      <c r="D13" s="23" t="s">
        <v>56</v>
      </c>
      <c r="E13" s="23"/>
      <c r="F13" s="23"/>
      <c r="G13" s="23"/>
      <c r="H13" s="23"/>
      <c r="I13" s="34" t="s">
        <v>56</v>
      </c>
      <c r="J13" s="34"/>
      <c r="K13" s="34"/>
      <c r="L13" s="34"/>
      <c r="M13" s="34"/>
      <c r="N13" s="35" t="s">
        <v>56</v>
      </c>
      <c r="O13" s="35"/>
      <c r="P13" s="35"/>
      <c r="Q13" s="35"/>
      <c r="R13" s="35"/>
      <c r="S13" s="36" t="s">
        <v>56</v>
      </c>
      <c r="T13" s="36"/>
      <c r="U13" s="36"/>
      <c r="V13" s="36"/>
      <c r="W13" s="36"/>
      <c r="X13" s="37" t="s">
        <v>56</v>
      </c>
      <c r="Y13" s="37"/>
      <c r="Z13" s="37"/>
      <c r="AA13" s="37"/>
    </row>
    <row r="14" spans="1:40" ht="12.75">
      <c r="A14" s="38" t="s">
        <v>58</v>
      </c>
      <c r="B14" s="13" t="str">
        <f ca="1">IFERROR(__xludf.UNSUPPORTED("""COMPUTED_VALUE"""),"ATS25011")</f>
        <v>ATS25011</v>
      </c>
      <c r="C14" s="13" t="str">
        <f ca="1">IFERROR(__xludf.UNSUPPORTED("""COMPUTED_VALUE"""),"Boiler Replacement at John.B Conally Middle School")</f>
        <v>Boiler Replacement at John.B Conally Middle School</v>
      </c>
      <c r="D14" s="23"/>
      <c r="E14" s="23">
        <v>5</v>
      </c>
      <c r="F14" s="23"/>
      <c r="G14" s="23"/>
      <c r="H14" s="23"/>
      <c r="I14" s="34"/>
      <c r="J14" s="34">
        <v>5</v>
      </c>
      <c r="K14" s="34"/>
      <c r="L14" s="34"/>
      <c r="M14" s="34"/>
      <c r="N14" s="35"/>
      <c r="O14" s="35">
        <v>5</v>
      </c>
      <c r="P14" s="35"/>
      <c r="Q14" s="35"/>
      <c r="R14" s="35"/>
      <c r="S14" s="36"/>
      <c r="T14" s="36">
        <v>5</v>
      </c>
      <c r="U14" s="36"/>
      <c r="V14" s="36"/>
      <c r="W14" s="36"/>
      <c r="X14" s="37"/>
      <c r="Y14" s="37">
        <v>5</v>
      </c>
      <c r="Z14" s="37"/>
      <c r="AA14" s="37"/>
    </row>
    <row r="15" spans="1:40" ht="12.75">
      <c r="A15" s="38" t="s">
        <v>58</v>
      </c>
      <c r="B15" s="13" t="str">
        <f ca="1">IFERROR(__xludf.UNSUPPORTED("""COMPUTED_VALUE"""),"NE26004")</f>
        <v>NE26004</v>
      </c>
      <c r="C15" s="13" t="str">
        <f ca="1">IFERROR(__xludf.UNSUPPORTED("""COMPUTED_VALUE"""),"Marin County Veterans Memorial Auditorium Building Systems Upgrade")</f>
        <v>Marin County Veterans Memorial Auditorium Building Systems Upgrade</v>
      </c>
      <c r="D15" s="23"/>
      <c r="E15" s="23">
        <v>35</v>
      </c>
      <c r="F15" s="23">
        <v>19</v>
      </c>
      <c r="G15" s="23"/>
      <c r="H15" s="23"/>
      <c r="I15" s="34"/>
      <c r="J15" s="34">
        <v>35</v>
      </c>
      <c r="K15" s="34">
        <v>19</v>
      </c>
      <c r="L15" s="34"/>
      <c r="M15" s="34"/>
      <c r="N15" s="35"/>
      <c r="O15" s="35">
        <v>35</v>
      </c>
      <c r="P15" s="35">
        <v>19</v>
      </c>
      <c r="Q15" s="35"/>
      <c r="R15" s="35"/>
      <c r="S15" s="36"/>
      <c r="T15" s="36">
        <v>35</v>
      </c>
      <c r="U15" s="36">
        <v>19</v>
      </c>
      <c r="V15" s="36"/>
      <c r="W15" s="36"/>
      <c r="X15" s="37"/>
      <c r="Y15" s="37">
        <v>35</v>
      </c>
      <c r="Z15" s="37">
        <v>19</v>
      </c>
      <c r="AA15" s="37"/>
    </row>
    <row r="16" spans="1:40" ht="12.75">
      <c r="A16" s="38" t="s">
        <v>58</v>
      </c>
      <c r="B16" s="13" t="str">
        <f ca="1">IFERROR(__xludf.UNSUPPORTED("""COMPUTED_VALUE"""),"ATS26015")</f>
        <v>ATS26015</v>
      </c>
      <c r="C16" s="13" t="str">
        <f ca="1">IFERROR(__xludf.UNSUPPORTED("""COMPUTED_VALUE"""),"TxDPS Law Academy &amp; Training Facility Project")</f>
        <v>TxDPS Law Academy &amp; Training Facility Project</v>
      </c>
      <c r="D16" s="23"/>
      <c r="E16" s="23"/>
      <c r="F16" s="23"/>
      <c r="G16" s="23"/>
      <c r="H16" s="23"/>
      <c r="I16" s="34"/>
      <c r="J16" s="34"/>
      <c r="K16" s="34"/>
      <c r="L16" s="34"/>
      <c r="M16" s="34"/>
      <c r="N16" s="35"/>
      <c r="O16" s="35"/>
      <c r="P16" s="35"/>
      <c r="Q16" s="35"/>
      <c r="R16" s="35"/>
      <c r="S16" s="36"/>
      <c r="T16" s="36"/>
      <c r="U16" s="36"/>
      <c r="V16" s="36"/>
      <c r="W16" s="36"/>
      <c r="X16" s="37"/>
      <c r="Y16" s="37"/>
      <c r="Z16" s="37"/>
      <c r="AA16" s="37"/>
    </row>
    <row r="17" spans="1:27" ht="12.75">
      <c r="A17" s="38" t="s">
        <v>58</v>
      </c>
      <c r="B17" s="13" t="str">
        <f ca="1">IFERROR(__xludf.UNSUPPORTED("""COMPUTED_VALUE"""),"GPS26005")</f>
        <v>GPS26005</v>
      </c>
      <c r="C17" s="13" t="str">
        <f ca="1">IFERROR(__xludf.UNSUPPORTED("""COMPUTED_VALUE"""),"Elder - Turquoise Units")</f>
        <v>Elder - Turquoise Units</v>
      </c>
      <c r="D17" s="23"/>
      <c r="E17" s="23"/>
      <c r="F17" s="23">
        <v>21</v>
      </c>
      <c r="G17" s="23">
        <v>19</v>
      </c>
      <c r="H17" s="23"/>
      <c r="I17" s="34"/>
      <c r="J17" s="34"/>
      <c r="K17" s="34">
        <v>21</v>
      </c>
      <c r="L17" s="34">
        <v>19</v>
      </c>
      <c r="M17" s="34"/>
      <c r="N17" s="35"/>
      <c r="O17" s="35"/>
      <c r="P17" s="35">
        <v>21</v>
      </c>
      <c r="Q17" s="35">
        <v>19</v>
      </c>
      <c r="R17" s="35"/>
      <c r="S17" s="36"/>
      <c r="T17" s="36"/>
      <c r="U17" s="36">
        <v>21</v>
      </c>
      <c r="V17" s="36">
        <v>19</v>
      </c>
      <c r="W17" s="36"/>
      <c r="X17" s="37"/>
      <c r="Y17" s="37"/>
      <c r="Z17" s="37">
        <v>21</v>
      </c>
      <c r="AA17" s="37">
        <v>19</v>
      </c>
    </row>
    <row r="18" spans="1:27" ht="12.75">
      <c r="A18" s="38" t="s">
        <v>58</v>
      </c>
      <c r="B18" s="13" t="str">
        <f ca="1">IFERROR(__xludf.UNSUPPORTED("""COMPUTED_VALUE"""),"ATS26017
")</f>
        <v xml:space="preserve">ATS26017
</v>
      </c>
      <c r="C18" s="13" t="str">
        <f ca="1">IFERROR(__xludf.UNSUPPORTED("""COMPUTED_VALUE"""),"Smithson Valley HS Interior Renovation - Comal I.S.D
")</f>
        <v xml:space="preserve">Smithson Valley HS Interior Renovation - Comal I.S.D
</v>
      </c>
      <c r="D18" s="23"/>
      <c r="E18" s="23"/>
      <c r="F18" s="23"/>
      <c r="G18" s="23"/>
      <c r="H18" s="23"/>
      <c r="I18" s="34"/>
      <c r="J18" s="34"/>
      <c r="K18" s="34"/>
      <c r="L18" s="34"/>
      <c r="M18" s="34"/>
      <c r="N18" s="35"/>
      <c r="O18" s="35"/>
      <c r="P18" s="35"/>
      <c r="Q18" s="35"/>
      <c r="R18" s="35"/>
      <c r="S18" s="36"/>
      <c r="T18" s="36"/>
      <c r="U18" s="36"/>
      <c r="V18" s="36"/>
      <c r="W18" s="36"/>
      <c r="X18" s="37"/>
      <c r="Y18" s="37"/>
      <c r="Z18" s="37"/>
      <c r="AA18" s="37"/>
    </row>
    <row r="19" spans="1:27" ht="12.75">
      <c r="A19" s="38" t="s">
        <v>58</v>
      </c>
      <c r="B19" s="13" t="str">
        <f ca="1">IFERROR(__xludf.UNSUPPORTED("""COMPUTED_VALUE"""),"PRE26006
")</f>
        <v xml:space="preserve">PRE26006
</v>
      </c>
      <c r="C19" s="13" t="str">
        <f ca="1">IFERROR(__xludf.UNSUPPORTED("""COMPUTED_VALUE"""),"Skywalker Complete Facility")</f>
        <v>Skywalker Complete Facility</v>
      </c>
      <c r="D19" s="23"/>
      <c r="E19" s="23"/>
      <c r="F19" s="23"/>
      <c r="G19" s="23"/>
      <c r="H19" s="23"/>
      <c r="I19" s="34"/>
      <c r="J19" s="34"/>
      <c r="K19" s="34"/>
      <c r="L19" s="34"/>
      <c r="M19" s="34"/>
      <c r="N19" s="35"/>
      <c r="O19" s="35"/>
      <c r="P19" s="35"/>
      <c r="Q19" s="35"/>
      <c r="R19" s="35"/>
      <c r="S19" s="36"/>
      <c r="T19" s="36"/>
      <c r="U19" s="36"/>
      <c r="V19" s="36"/>
      <c r="W19" s="36"/>
      <c r="X19" s="37"/>
      <c r="Y19" s="37"/>
      <c r="Z19" s="37"/>
      <c r="AA19" s="37"/>
    </row>
    <row r="20" spans="1:27" ht="12.75">
      <c r="A20" s="38" t="s">
        <v>58</v>
      </c>
      <c r="B20" s="1" t="str">
        <f ca="1">IFERROR(__xludf.UNSUPPORTED("""COMPUTED_VALUE"""),"GPS22001")</f>
        <v>GPS22001</v>
      </c>
      <c r="C20" s="1" t="str">
        <f ca="1">IFERROR(__xludf.UNSUPPORTED("""COMPUTED_VALUE"""),"La Verna (Miguel Barroso)")</f>
        <v>La Verna (Miguel Barroso)</v>
      </c>
      <c r="D20" s="23"/>
      <c r="E20" s="23"/>
      <c r="F20" s="23"/>
      <c r="G20" s="23">
        <v>19</v>
      </c>
      <c r="H20" s="23"/>
      <c r="I20" s="34"/>
      <c r="J20" s="34"/>
      <c r="K20" s="34"/>
      <c r="L20" s="34">
        <v>19</v>
      </c>
      <c r="M20" s="34"/>
      <c r="N20" s="35"/>
      <c r="O20" s="35"/>
      <c r="P20" s="35"/>
      <c r="Q20" s="35">
        <v>19</v>
      </c>
      <c r="R20" s="35"/>
      <c r="S20" s="36"/>
      <c r="T20" s="36"/>
      <c r="U20" s="36"/>
      <c r="V20" s="36">
        <v>19</v>
      </c>
      <c r="W20" s="36"/>
      <c r="X20" s="37"/>
      <c r="Y20" s="37"/>
      <c r="Z20" s="37"/>
      <c r="AA20" s="37">
        <v>19</v>
      </c>
    </row>
    <row r="21" spans="1:27" ht="12.75">
      <c r="A21" s="38" t="s">
        <v>58</v>
      </c>
      <c r="B21" s="1" t="str">
        <f ca="1">IFERROR(__xludf.UNSUPPORTED("""COMPUTED_VALUE"""),"CESC25004
")</f>
        <v xml:space="preserve">CESC25004
</v>
      </c>
      <c r="C21" s="1" t="str">
        <f ca="1">IFERROR(__xludf.UNSUPPORTED("""COMPUTED_VALUE"""),"Vancouver Affordable Housing
")</f>
        <v xml:space="preserve">Vancouver Affordable Housing
</v>
      </c>
      <c r="D21" s="33"/>
      <c r="E21" s="33"/>
      <c r="F21" s="33"/>
    </row>
    <row r="22" spans="1:27" ht="12.75">
      <c r="A22" s="1"/>
      <c r="D22" s="31"/>
      <c r="E22" s="41"/>
      <c r="F22" s="42"/>
      <c r="G22" s="42"/>
      <c r="H22" s="42"/>
      <c r="I22" s="42"/>
      <c r="J22" s="41"/>
      <c r="K22" s="42"/>
      <c r="L22" s="42"/>
      <c r="M22" s="42"/>
      <c r="N22" s="41"/>
      <c r="O22" s="42"/>
      <c r="P22" s="42"/>
      <c r="Q22" s="42"/>
      <c r="R22" s="41"/>
      <c r="S22" s="42"/>
      <c r="T22" s="42"/>
      <c r="U22" s="42"/>
    </row>
    <row r="23" spans="1:27" ht="12.75"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7" ht="12.75">
      <c r="D24" s="31"/>
      <c r="E24" s="41"/>
      <c r="F24" s="42"/>
      <c r="G24" s="42"/>
      <c r="H24" s="42"/>
      <c r="I24" s="42"/>
      <c r="J24" s="41"/>
      <c r="K24" s="42"/>
      <c r="L24" s="42"/>
      <c r="M24" s="42"/>
      <c r="N24" s="41"/>
      <c r="O24" s="42"/>
      <c r="P24" s="42"/>
      <c r="Q24" s="42"/>
      <c r="R24" s="41"/>
      <c r="S24" s="42"/>
      <c r="T24" s="42"/>
      <c r="U24" s="42"/>
    </row>
    <row r="25" spans="1:27" ht="12.75">
      <c r="A25" s="1"/>
      <c r="D25" s="23"/>
      <c r="E25" s="23"/>
      <c r="F25" s="23"/>
      <c r="G25" s="23"/>
      <c r="H25" s="23">
        <v>40</v>
      </c>
      <c r="I25" s="34">
        <v>40</v>
      </c>
      <c r="J25" s="34"/>
      <c r="K25" s="34"/>
      <c r="L25" s="34"/>
      <c r="M25" s="34">
        <v>40</v>
      </c>
      <c r="N25" s="35"/>
      <c r="O25" s="35"/>
      <c r="P25" s="35"/>
      <c r="Q25" s="35"/>
      <c r="R25" s="35">
        <v>40</v>
      </c>
      <c r="S25" s="36"/>
      <c r="T25" s="36"/>
      <c r="U25" s="36"/>
      <c r="V25" s="36"/>
      <c r="W25" s="36">
        <v>40</v>
      </c>
      <c r="X25" s="37"/>
      <c r="Y25" s="37"/>
      <c r="Z25" s="37"/>
      <c r="AA25" s="37"/>
    </row>
    <row r="26" spans="1:27" ht="12.75">
      <c r="A26" s="38" t="s">
        <v>59</v>
      </c>
      <c r="B26" s="13" t="str">
        <f ca="1">IFERROR(__xludf.UNSUPPORTED("INDEX(
  SORT(FILTER({PROJECTS!A:A, PROJECTS!D:D}, PROJECTS!E:E = A41), 2, TRUE),
  ,
  1
)"),"PBS25005")</f>
        <v>PBS25005</v>
      </c>
      <c r="C26" s="13" t="str">
        <f ca="1">IFERROR(__xludf.UNSUPPORTED("INDEX(
  SORT(FILTER({PROJECTS!C:C, PROJECTS!D:D}, PROJECTS!E:E = A41), 2, TRUE),
  ,
  1
)"),"COH - Helford Special Procedure Room")</f>
        <v>COH - Helford Special Procedure Room</v>
      </c>
      <c r="D26" s="23"/>
      <c r="E26" s="23"/>
      <c r="F26" s="23"/>
      <c r="G26" s="23"/>
      <c r="H26" s="23"/>
      <c r="I26" s="34"/>
      <c r="J26" s="34"/>
      <c r="K26" s="34"/>
      <c r="L26" s="34"/>
      <c r="M26" s="34"/>
      <c r="N26" s="35"/>
      <c r="O26" s="35"/>
      <c r="P26" s="35"/>
      <c r="Q26" s="35"/>
      <c r="R26" s="35"/>
      <c r="S26" s="36"/>
      <c r="T26" s="36"/>
      <c r="U26" s="36"/>
      <c r="V26" s="36"/>
      <c r="W26" s="36"/>
      <c r="X26" s="37"/>
      <c r="Y26" s="37"/>
      <c r="Z26" s="37"/>
      <c r="AA26" s="37"/>
    </row>
    <row r="27" spans="1:27" ht="12.75">
      <c r="A27" s="38" t="s">
        <v>59</v>
      </c>
      <c r="B27" s="13" t="str">
        <f ca="1">IFERROR(__xludf.UNSUPPORTED("""COMPUTED_VALUE"""),"CE25001")</f>
        <v>CE25001</v>
      </c>
      <c r="C27" s="13" t="str">
        <f ca="1">IFERROR(__xludf.UNSUPPORTED("""COMPUTED_VALUE"""),"ECY - EV Infrastructure")</f>
        <v>ECY - EV Infrastructure</v>
      </c>
      <c r="D27" s="23"/>
      <c r="E27" s="23"/>
      <c r="F27" s="23"/>
      <c r="G27" s="23"/>
      <c r="H27" s="23"/>
      <c r="I27" s="34"/>
      <c r="J27" s="34"/>
      <c r="K27" s="34"/>
      <c r="L27" s="34"/>
      <c r="M27" s="34"/>
      <c r="N27" s="35"/>
      <c r="O27" s="35"/>
      <c r="P27" s="35"/>
      <c r="Q27" s="35"/>
      <c r="R27" s="35"/>
      <c r="S27" s="36"/>
      <c r="T27" s="36"/>
      <c r="U27" s="36"/>
      <c r="V27" s="36"/>
      <c r="W27" s="36"/>
      <c r="X27" s="37"/>
      <c r="Y27" s="37"/>
      <c r="Z27" s="37"/>
      <c r="AA27" s="37"/>
    </row>
    <row r="28" spans="1:27" ht="12.75">
      <c r="A28" s="38" t="s">
        <v>59</v>
      </c>
      <c r="B28" s="13" t="str">
        <f ca="1">IFERROR(__xludf.UNSUPPORTED("""COMPUTED_VALUE"""),"AET25001")</f>
        <v>AET25001</v>
      </c>
      <c r="C28" s="13" t="str">
        <f ca="1">IFERROR(__xludf.UNSUPPORTED("""COMPUTED_VALUE"""),"Issaquah Transportation Bus Charging
")</f>
        <v xml:space="preserve">Issaquah Transportation Bus Charging
</v>
      </c>
      <c r="D28" s="23"/>
      <c r="E28" s="23"/>
      <c r="F28" s="23"/>
      <c r="G28" s="23"/>
      <c r="H28" s="23"/>
      <c r="I28" s="34"/>
      <c r="J28" s="34"/>
      <c r="K28" s="34"/>
      <c r="L28" s="34"/>
      <c r="M28" s="34"/>
      <c r="N28" s="35"/>
      <c r="O28" s="35"/>
      <c r="P28" s="35"/>
      <c r="Q28" s="35"/>
      <c r="R28" s="35"/>
      <c r="S28" s="36"/>
      <c r="T28" s="36"/>
      <c r="U28" s="36"/>
      <c r="V28" s="36"/>
      <c r="W28" s="36"/>
      <c r="X28" s="37"/>
      <c r="Y28" s="37"/>
      <c r="Z28" s="37"/>
      <c r="AA28" s="37"/>
    </row>
    <row r="29" spans="1:27" ht="12.75">
      <c r="A29" s="38" t="s">
        <v>59</v>
      </c>
      <c r="B29" s="13" t="str">
        <f ca="1">IFERROR(__xludf.UNSUPPORTED("""COMPUTED_VALUE"""),"AG25001")</f>
        <v>AG25001</v>
      </c>
      <c r="C29" s="13" t="str">
        <f ca="1">IFERROR(__xludf.UNSUPPORTED("""COMPUTED_VALUE"""),"Yermo School's New Gym")</f>
        <v>Yermo School's New Gym</v>
      </c>
      <c r="D29" s="23"/>
      <c r="E29" s="23"/>
      <c r="F29" s="23"/>
      <c r="G29" s="23"/>
      <c r="H29" s="23"/>
      <c r="I29" s="34"/>
      <c r="J29" s="34"/>
      <c r="K29" s="34"/>
      <c r="L29" s="34"/>
      <c r="M29" s="34"/>
      <c r="N29" s="35"/>
      <c r="O29" s="35"/>
      <c r="P29" s="35"/>
      <c r="Q29" s="35"/>
      <c r="R29" s="35"/>
      <c r="S29" s="36"/>
      <c r="T29" s="36"/>
      <c r="U29" s="36"/>
      <c r="V29" s="36"/>
      <c r="W29" s="36"/>
      <c r="X29" s="37"/>
      <c r="Y29" s="37"/>
      <c r="Z29" s="37"/>
      <c r="AA29" s="37"/>
    </row>
    <row r="30" spans="1:27" ht="12.75">
      <c r="A30" s="38" t="s">
        <v>59</v>
      </c>
      <c r="B30" s="13" t="str">
        <f ca="1">IFERROR(__xludf.UNSUPPORTED("""COMPUTED_VALUE"""),"SECO25001")</f>
        <v>SECO25001</v>
      </c>
      <c r="C30" s="13" t="str">
        <f ca="1">IFERROR(__xludf.UNSUPPORTED("""COMPUTED_VALUE"""),"City of Burlingtom - WWTP Influent &amp; Effluent PS Upgrades")</f>
        <v>City of Burlingtom - WWTP Influent &amp; Effluent PS Upgrades</v>
      </c>
      <c r="D30" s="23" t="s">
        <v>56</v>
      </c>
      <c r="E30" s="23"/>
      <c r="F30" s="23"/>
      <c r="G30" s="23"/>
      <c r="H30" s="23"/>
      <c r="I30" s="34"/>
      <c r="J30" s="34"/>
      <c r="K30" s="34"/>
      <c r="L30" s="34"/>
      <c r="M30" s="34"/>
      <c r="N30" s="35"/>
      <c r="O30" s="35"/>
      <c r="P30" s="35"/>
      <c r="Q30" s="35"/>
      <c r="R30" s="35"/>
      <c r="S30" s="36"/>
      <c r="T30" s="36"/>
      <c r="U30" s="36"/>
      <c r="V30" s="36"/>
      <c r="W30" s="36"/>
      <c r="X30" s="37"/>
      <c r="Y30" s="37"/>
      <c r="Z30" s="37"/>
      <c r="AA30" s="37"/>
    </row>
    <row r="31" spans="1:27" ht="12.75">
      <c r="A31" s="38" t="s">
        <v>59</v>
      </c>
      <c r="B31" s="13" t="str">
        <f ca="1">IFERROR(__xludf.UNSUPPORTED("""COMPUTED_VALUE"""),"SBE25010")</f>
        <v>SBE25010</v>
      </c>
      <c r="C31" s="13" t="str">
        <f ca="1">IFERROR(__xludf.UNSUPPORTED("""COMPUTED_VALUE"""),"UCD Campus Outdoor Security")</f>
        <v>UCD Campus Outdoor Security</v>
      </c>
      <c r="D31" s="23" t="s">
        <v>56</v>
      </c>
      <c r="E31" s="23"/>
      <c r="F31" s="23"/>
      <c r="G31" s="23"/>
      <c r="H31" s="23"/>
      <c r="I31" s="34"/>
      <c r="J31" s="34"/>
      <c r="K31" s="34"/>
      <c r="L31" s="34"/>
      <c r="M31" s="34"/>
      <c r="N31" s="35"/>
      <c r="O31" s="35"/>
      <c r="P31" s="35"/>
      <c r="Q31" s="35"/>
      <c r="R31" s="35"/>
      <c r="S31" s="36"/>
      <c r="T31" s="36"/>
      <c r="U31" s="36"/>
      <c r="V31" s="36"/>
      <c r="W31" s="36"/>
      <c r="X31" s="37"/>
      <c r="Y31" s="37"/>
      <c r="Z31" s="37"/>
      <c r="AA31" s="37"/>
    </row>
    <row r="32" spans="1:27" ht="12.75">
      <c r="A32" s="38" t="s">
        <v>59</v>
      </c>
      <c r="B32" s="13" t="str">
        <f ca="1">IFERROR(__xludf.UNSUPPORTED("""COMPUTED_VALUE"""),"BVE25002")</f>
        <v>BVE25002</v>
      </c>
      <c r="C32" s="13" t="str">
        <f ca="1">IFERROR(__xludf.UNSUPPORTED("""COMPUTED_VALUE"""),"Al Tahoe/Bayview Well Rehab &amp; Emergency Power")</f>
        <v>Al Tahoe/Bayview Well Rehab &amp; Emergency Power</v>
      </c>
      <c r="D32" s="23" t="s">
        <v>56</v>
      </c>
      <c r="E32" s="23"/>
      <c r="F32" s="23"/>
      <c r="G32" s="23"/>
      <c r="H32" s="23"/>
      <c r="I32" s="34"/>
      <c r="J32" s="34"/>
      <c r="K32" s="34"/>
      <c r="L32" s="34"/>
      <c r="M32" s="34"/>
      <c r="N32" s="35"/>
      <c r="O32" s="35"/>
      <c r="P32" s="35"/>
      <c r="Q32" s="35"/>
      <c r="R32" s="35"/>
      <c r="S32" s="36"/>
      <c r="T32" s="36"/>
      <c r="U32" s="36"/>
      <c r="V32" s="36"/>
      <c r="W32" s="36"/>
      <c r="X32" s="37"/>
      <c r="Y32" s="37"/>
      <c r="Z32" s="37"/>
      <c r="AA32" s="37"/>
    </row>
    <row r="33" spans="1:27" ht="12.75">
      <c r="A33" s="38" t="s">
        <v>59</v>
      </c>
      <c r="B33" s="13" t="str">
        <f ca="1">IFERROR(__xludf.UNSUPPORTED("""COMPUTED_VALUE"""),"BVE25003")</f>
        <v>BVE25003</v>
      </c>
      <c r="C33" s="13" t="str">
        <f ca="1">IFERROR(__xludf.UNSUPPORTED("""COMPUTED_VALUE"""),"UC Davis Electrical Panel Replacement ")</f>
        <v xml:space="preserve">UC Davis Electrical Panel Replacement </v>
      </c>
      <c r="D33" s="23" t="s">
        <v>56</v>
      </c>
      <c r="E33" s="23"/>
      <c r="F33" s="23"/>
      <c r="G33" s="23"/>
      <c r="H33" s="23"/>
      <c r="I33" s="34"/>
      <c r="J33" s="34"/>
      <c r="K33" s="34"/>
      <c r="L33" s="34"/>
      <c r="M33" s="34"/>
      <c r="N33" s="35"/>
      <c r="O33" s="35"/>
      <c r="P33" s="35"/>
      <c r="Q33" s="35"/>
      <c r="R33" s="35"/>
      <c r="S33" s="36"/>
      <c r="T33" s="36"/>
      <c r="U33" s="36"/>
      <c r="V33" s="36"/>
      <c r="W33" s="36"/>
      <c r="X33" s="37"/>
      <c r="Y33" s="37"/>
      <c r="Z33" s="37"/>
      <c r="AA33" s="37"/>
    </row>
    <row r="34" spans="1:27" ht="12.75">
      <c r="A34" s="38" t="s">
        <v>59</v>
      </c>
      <c r="B34" s="13" t="str">
        <f ca="1">IFERROR(__xludf.UNSUPPORTED("""COMPUTED_VALUE"""),"PBS25005.1")</f>
        <v>PBS25005.1</v>
      </c>
      <c r="C34" s="13" t="str">
        <f ca="1">IFERROR(__xludf.UNSUPPORTED("""COMPUTED_VALUE"""),"City of Hope - Helford Special Procedure Room CO#1")</f>
        <v>City of Hope - Helford Special Procedure Room CO#1</v>
      </c>
      <c r="D34" s="23">
        <v>40</v>
      </c>
      <c r="E34" s="23"/>
      <c r="F34" s="23"/>
      <c r="G34" s="23"/>
      <c r="H34" s="23"/>
      <c r="I34" s="34">
        <v>40</v>
      </c>
      <c r="J34" s="34"/>
      <c r="K34" s="34"/>
      <c r="L34" s="34"/>
      <c r="M34" s="34"/>
      <c r="N34" s="35">
        <v>40</v>
      </c>
      <c r="O34" s="35"/>
      <c r="P34" s="35"/>
      <c r="Q34" s="35"/>
      <c r="R34" s="35"/>
      <c r="S34" s="36">
        <v>40</v>
      </c>
      <c r="T34" s="36"/>
      <c r="U34" s="36"/>
      <c r="V34" s="36"/>
      <c r="W34" s="36"/>
      <c r="X34" s="37">
        <v>40</v>
      </c>
      <c r="Y34" s="37"/>
      <c r="Z34" s="37"/>
      <c r="AA34" s="37"/>
    </row>
    <row r="35" spans="1:27" ht="12.75">
      <c r="A35" s="38" t="s">
        <v>59</v>
      </c>
      <c r="B35" s="13" t="str">
        <f ca="1">IFERROR(__xludf.UNSUPPORTED("""COMPUTED_VALUE"""),"MESC25002")</f>
        <v>MESC25002</v>
      </c>
      <c r="C35" s="13" t="str">
        <f ca="1">IFERROR(__xludf.UNSUPPORTED("""COMPUTED_VALUE"""),"PR Distribution Project")</f>
        <v>PR Distribution Project</v>
      </c>
      <c r="D35" s="23" t="s">
        <v>56</v>
      </c>
      <c r="E35" s="23"/>
      <c r="F35" s="23"/>
      <c r="G35" s="23"/>
      <c r="H35" s="23"/>
      <c r="I35" s="34" t="s">
        <v>56</v>
      </c>
      <c r="J35" s="34"/>
      <c r="K35" s="34"/>
      <c r="L35" s="34"/>
      <c r="M35" s="34"/>
      <c r="N35" s="35" t="s">
        <v>56</v>
      </c>
      <c r="O35" s="35"/>
      <c r="P35" s="35"/>
      <c r="Q35" s="35"/>
      <c r="R35" s="35"/>
      <c r="S35" s="36" t="s">
        <v>56</v>
      </c>
      <c r="T35" s="36"/>
      <c r="U35" s="36"/>
      <c r="V35" s="36"/>
      <c r="W35" s="36"/>
      <c r="X35" s="37" t="s">
        <v>56</v>
      </c>
      <c r="Y35" s="37"/>
      <c r="Z35" s="37"/>
      <c r="AA35" s="37"/>
    </row>
    <row r="36" spans="1:27" ht="12.75">
      <c r="A36" s="38" t="s">
        <v>59</v>
      </c>
      <c r="B36" s="13" t="str">
        <f ca="1">IFERROR(__xludf.UNSUPPORTED("""COMPUTED_VALUE"""),"BDE25004")</f>
        <v>BDE25004</v>
      </c>
      <c r="C36" s="13" t="str">
        <f ca="1">IFERROR(__xludf.UNSUPPORTED("""COMPUTED_VALUE"""),"PSS Longview ISD Multi Purpose Facility")</f>
        <v>PSS Longview ISD Multi Purpose Facility</v>
      </c>
      <c r="D36" s="23"/>
      <c r="E36" s="23">
        <v>5</v>
      </c>
      <c r="F36" s="23"/>
      <c r="G36" s="23"/>
      <c r="H36" s="23"/>
      <c r="I36" s="34"/>
      <c r="J36" s="34">
        <v>5</v>
      </c>
      <c r="K36" s="34"/>
      <c r="L36" s="34"/>
      <c r="M36" s="34"/>
      <c r="N36" s="35"/>
      <c r="O36" s="35">
        <v>5</v>
      </c>
      <c r="P36" s="35"/>
      <c r="Q36" s="35"/>
      <c r="R36" s="35"/>
      <c r="S36" s="36"/>
      <c r="T36" s="36">
        <v>5</v>
      </c>
      <c r="U36" s="36"/>
      <c r="V36" s="36"/>
      <c r="W36" s="36"/>
      <c r="X36" s="37"/>
      <c r="Y36" s="37">
        <v>5</v>
      </c>
      <c r="Z36" s="37"/>
      <c r="AA36" s="37"/>
    </row>
    <row r="37" spans="1:27" ht="12.75">
      <c r="A37" s="38" t="s">
        <v>59</v>
      </c>
      <c r="B37" s="13" t="str">
        <f ca="1">IFERROR(__xludf.UNSUPPORTED("""COMPUTED_VALUE"""),"MESC25002.1")</f>
        <v>MESC25002.1</v>
      </c>
      <c r="C37" s="13" t="str">
        <f ca="1">IFERROR(__xludf.UNSUPPORTED("""COMPUTED_VALUE"""),"PR Distribution Project Model Conversion ETAP TO SKM CO#1")</f>
        <v>PR Distribution Project Model Conversion ETAP TO SKM CO#1</v>
      </c>
      <c r="D37" s="23"/>
      <c r="E37" s="23">
        <v>35</v>
      </c>
      <c r="F37" s="23">
        <v>19</v>
      </c>
      <c r="G37" s="23"/>
      <c r="H37" s="23"/>
      <c r="I37" s="34"/>
      <c r="J37" s="34">
        <v>35</v>
      </c>
      <c r="K37" s="34">
        <v>19</v>
      </c>
      <c r="L37" s="34"/>
      <c r="M37" s="34"/>
      <c r="N37" s="35"/>
      <c r="O37" s="35">
        <v>35</v>
      </c>
      <c r="P37" s="35">
        <v>19</v>
      </c>
      <c r="Q37" s="35"/>
      <c r="R37" s="35"/>
      <c r="S37" s="36"/>
      <c r="T37" s="36">
        <v>35</v>
      </c>
      <c r="U37" s="36">
        <v>19</v>
      </c>
      <c r="V37" s="36"/>
      <c r="W37" s="36"/>
      <c r="X37" s="37"/>
      <c r="Y37" s="37">
        <v>35</v>
      </c>
      <c r="Z37" s="37">
        <v>19</v>
      </c>
      <c r="AA37" s="37"/>
    </row>
    <row r="38" spans="1:27" ht="12.75">
      <c r="A38" s="38" t="s">
        <v>59</v>
      </c>
      <c r="B38" s="13" t="str">
        <f ca="1">IFERROR(__xludf.UNSUPPORTED("""COMPUTED_VALUE"""),"MESC25002.3")</f>
        <v>MESC25002.3</v>
      </c>
      <c r="C38" s="13" t="str">
        <f ca="1">IFERROR(__xludf.UNSUPPORTED("""COMPUTED_VALUE"""),"PR Distribution Project CO#3")</f>
        <v>PR Distribution Project CO#3</v>
      </c>
      <c r="D38" s="23"/>
      <c r="E38" s="23"/>
      <c r="F38" s="23"/>
      <c r="G38" s="23"/>
      <c r="H38" s="23"/>
      <c r="I38" s="34"/>
      <c r="J38" s="34"/>
      <c r="K38" s="34"/>
      <c r="L38" s="34"/>
      <c r="M38" s="34"/>
      <c r="N38" s="35"/>
      <c r="O38" s="35"/>
      <c r="P38" s="35"/>
      <c r="Q38" s="35"/>
      <c r="R38" s="35"/>
      <c r="S38" s="36"/>
      <c r="T38" s="36"/>
      <c r="U38" s="36"/>
      <c r="V38" s="36"/>
      <c r="W38" s="36"/>
      <c r="X38" s="37"/>
      <c r="Y38" s="37"/>
      <c r="Z38" s="37"/>
      <c r="AA38" s="37"/>
    </row>
    <row r="39" spans="1:27" ht="12.75">
      <c r="A39" s="38" t="s">
        <v>59</v>
      </c>
      <c r="B39" s="13" t="str">
        <f ca="1">IFERROR(__xludf.UNSUPPORTED("""COMPUTED_VALUE"""),"ERE26001
")</f>
        <v xml:space="preserve">ERE26001
</v>
      </c>
      <c r="C39" s="13" t="str">
        <f ca="1">IFERROR(__xludf.UNSUPPORTED("""COMPUTED_VALUE"""),"Fire Station 52 - Comal County ESD 3
")</f>
        <v xml:space="preserve">Fire Station 52 - Comal County ESD 3
</v>
      </c>
      <c r="D39" s="23"/>
      <c r="E39" s="23"/>
      <c r="F39" s="23">
        <v>21</v>
      </c>
      <c r="G39" s="23">
        <v>19</v>
      </c>
      <c r="H39" s="23"/>
      <c r="I39" s="34"/>
      <c r="J39" s="34"/>
      <c r="K39" s="34">
        <v>21</v>
      </c>
      <c r="L39" s="34">
        <v>19</v>
      </c>
      <c r="M39" s="34"/>
      <c r="N39" s="35"/>
      <c r="O39" s="35"/>
      <c r="P39" s="35">
        <v>21</v>
      </c>
      <c r="Q39" s="35">
        <v>19</v>
      </c>
      <c r="R39" s="35"/>
      <c r="S39" s="36"/>
      <c r="T39" s="36"/>
      <c r="U39" s="36">
        <v>21</v>
      </c>
      <c r="V39" s="36">
        <v>19</v>
      </c>
      <c r="W39" s="36"/>
      <c r="X39" s="37"/>
      <c r="Y39" s="37"/>
      <c r="Z39" s="37">
        <v>21</v>
      </c>
      <c r="AA39" s="37">
        <v>19</v>
      </c>
    </row>
    <row r="40" spans="1:27" ht="12.75">
      <c r="A40" s="38" t="s">
        <v>59</v>
      </c>
      <c r="B40" s="1" t="str">
        <f ca="1">IFERROR(__xludf.UNSUPPORTED("""COMPUTED_VALUE"""),"MESC25001
")</f>
        <v xml:space="preserve">MESC25001
</v>
      </c>
      <c r="C40" s="1" t="str">
        <f ca="1">IFERROR(__xludf.UNSUPPORTED("""COMPUTED_VALUE"""),"Texas Medical Center (TMC) Transit Center Opportunity
")</f>
        <v xml:space="preserve">Texas Medical Center (TMC) Transit Center Opportunity
</v>
      </c>
      <c r="D40" s="23"/>
      <c r="E40" s="23"/>
      <c r="F40" s="23"/>
      <c r="G40" s="23"/>
      <c r="H40" s="23"/>
      <c r="I40" s="34"/>
      <c r="J40" s="34"/>
      <c r="K40" s="34"/>
      <c r="L40" s="34"/>
      <c r="M40" s="34"/>
      <c r="N40" s="35"/>
      <c r="O40" s="35"/>
      <c r="P40" s="35"/>
      <c r="Q40" s="35"/>
      <c r="R40" s="35"/>
      <c r="S40" s="36"/>
      <c r="T40" s="36"/>
      <c r="U40" s="36"/>
      <c r="V40" s="36"/>
      <c r="W40" s="36"/>
      <c r="X40" s="37"/>
      <c r="Y40" s="37"/>
      <c r="Z40" s="37"/>
      <c r="AA40" s="37"/>
    </row>
    <row r="41" spans="1:27" ht="12.75"/>
    <row r="42" spans="1:27" ht="12.75"/>
    <row r="43" spans="1:27" ht="12.75">
      <c r="A43" s="1"/>
    </row>
    <row r="44" spans="1:27" ht="12.75"/>
    <row r="45" spans="1:27" ht="12.75"/>
    <row r="46" spans="1:27" ht="12.75">
      <c r="A46" s="38" t="s">
        <v>60</v>
      </c>
      <c r="B46" s="13" t="str">
        <f ca="1">IFERROR(__xludf.UNSUPPORTED("INDEX(
  SORT(FILTER({PROJECTS!A:A, PROJECTS!D:D}, PROJECTS!E:E = A59), 2, TRUE),
  ,
  1
)"),"FES25001")</f>
        <v>FES25001</v>
      </c>
      <c r="C46" s="13" t="str">
        <f ca="1">IFERROR(__xludf.UNSUPPORTED("INDEX(
  SORT(FILTER({PROJECTS!C:C, PROJECTS!D:D}, PROJECTS!E:E = A59), 2, TRUE),
  ,
  1
)"),"Crest Pump Station")</f>
        <v>Crest Pump Station</v>
      </c>
      <c r="D46" s="23"/>
      <c r="E46" s="23"/>
      <c r="F46" s="23"/>
      <c r="G46" s="23"/>
      <c r="H46" s="23"/>
      <c r="I46" s="23"/>
      <c r="J46" s="24"/>
      <c r="K46" s="24"/>
      <c r="L46" s="24"/>
      <c r="M46" s="24"/>
      <c r="N46" s="25"/>
      <c r="O46" s="25"/>
      <c r="P46" s="25"/>
      <c r="Q46" s="25"/>
      <c r="R46" s="26"/>
      <c r="S46" s="26"/>
      <c r="T46" s="26"/>
      <c r="U46" s="26"/>
    </row>
    <row r="47" spans="1:27" ht="12.75">
      <c r="A47" s="38" t="s">
        <v>60</v>
      </c>
      <c r="B47" s="13" t="str">
        <f ca="1">IFERROR(__xludf.UNSUPPORTED("""COMPUTED_VALUE"""),"CPE25004")</f>
        <v>CPE25004</v>
      </c>
      <c r="C47" s="13" t="str">
        <f ca="1">IFERROR(__xludf.UNSUPPORTED("""COMPUTED_VALUE"""),"OCH Catheterization Lab
")</f>
        <v xml:space="preserve">OCH Catheterization Lab
</v>
      </c>
      <c r="D47" s="23"/>
      <c r="E47" s="23"/>
      <c r="F47" s="23"/>
      <c r="G47" s="23"/>
      <c r="H47" s="23"/>
      <c r="I47" s="23"/>
      <c r="J47" s="24"/>
      <c r="K47" s="24"/>
      <c r="L47" s="24"/>
      <c r="M47" s="24"/>
      <c r="N47" s="25"/>
      <c r="O47" s="25"/>
      <c r="P47" s="25"/>
      <c r="Q47" s="25"/>
      <c r="R47" s="26"/>
      <c r="S47" s="26"/>
      <c r="T47" s="26"/>
      <c r="U47" s="26"/>
    </row>
    <row r="48" spans="1:27" ht="12.75">
      <c r="A48" s="38" t="s">
        <v>60</v>
      </c>
      <c r="B48" s="13" t="str">
        <f ca="1">IFERROR(__xludf.UNSUPPORTED("""COMPUTED_VALUE"""),"CJFE25001")</f>
        <v>CJFE25001</v>
      </c>
      <c r="C48" s="13" t="str">
        <f ca="1">IFERROR(__xludf.UNSUPPORTED("""COMPUTED_VALUE"""),"Modesto Library Tenant Improvements")</f>
        <v>Modesto Library Tenant Improvements</v>
      </c>
      <c r="D48" s="23"/>
      <c r="E48" s="23"/>
      <c r="F48" s="23"/>
      <c r="G48" s="23"/>
      <c r="H48" s="23"/>
      <c r="I48" s="23"/>
      <c r="J48" s="24"/>
      <c r="K48" s="24"/>
      <c r="L48" s="24"/>
      <c r="M48" s="24"/>
      <c r="N48" s="25"/>
      <c r="O48" s="25"/>
      <c r="P48" s="25"/>
      <c r="Q48" s="25"/>
      <c r="R48" s="26"/>
      <c r="S48" s="26"/>
      <c r="T48" s="26"/>
      <c r="U48" s="26"/>
    </row>
    <row r="49" spans="1:27" ht="12.75">
      <c r="A49" s="38" t="s">
        <v>60</v>
      </c>
      <c r="B49" s="13" t="str">
        <f ca="1">IFERROR(__xludf.UNSUPPORTED("""COMPUTED_VALUE"""),"ME25001")</f>
        <v>ME25001</v>
      </c>
      <c r="C49" s="13" t="str">
        <f ca="1">IFERROR(__xludf.UNSUPPORTED("""COMPUTED_VALUE"""),"City of Anacortes - Pump Station 16")</f>
        <v>City of Anacortes - Pump Station 16</v>
      </c>
      <c r="D49" s="23"/>
      <c r="E49" s="23"/>
      <c r="F49" s="23"/>
      <c r="G49" s="23"/>
      <c r="H49" s="23"/>
      <c r="I49" s="23"/>
      <c r="J49" s="24"/>
      <c r="K49" s="24"/>
      <c r="L49" s="24"/>
      <c r="M49" s="24"/>
      <c r="N49" s="25"/>
      <c r="O49" s="25"/>
      <c r="P49" s="25"/>
      <c r="Q49" s="25"/>
      <c r="R49" s="26"/>
      <c r="S49" s="26"/>
      <c r="T49" s="26"/>
      <c r="U49" s="26"/>
    </row>
    <row r="50" spans="1:27" ht="12.75">
      <c r="A50" s="38" t="s">
        <v>60</v>
      </c>
      <c r="B50" s="13" t="str">
        <f ca="1">IFERROR(__xludf.UNSUPPORTED("""COMPUTED_VALUE"""),"CESC25001")</f>
        <v>CESC25001</v>
      </c>
      <c r="C50" s="13" t="str">
        <f ca="1">IFERROR(__xludf.UNSUPPORTED("""COMPUTED_VALUE"""),"Eddyville Fire Station Gear")</f>
        <v>Eddyville Fire Station Gear</v>
      </c>
      <c r="D50" s="23"/>
      <c r="E50" s="23"/>
      <c r="F50" s="23"/>
      <c r="G50" s="23"/>
      <c r="H50" s="23"/>
      <c r="I50" s="23"/>
      <c r="J50" s="24"/>
      <c r="K50" s="24"/>
      <c r="L50" s="24"/>
      <c r="M50" s="24"/>
      <c r="N50" s="25"/>
      <c r="O50" s="25"/>
      <c r="P50" s="25"/>
      <c r="Q50" s="25"/>
      <c r="R50" s="26"/>
      <c r="S50" s="26"/>
      <c r="T50" s="26"/>
      <c r="U50" s="26"/>
    </row>
    <row r="51" spans="1:27" ht="12.75">
      <c r="A51" s="38" t="s">
        <v>60</v>
      </c>
      <c r="B51" s="13" t="str">
        <f ca="1">IFERROR(__xludf.UNSUPPORTED("""COMPUTED_VALUE"""),"BE25001")</f>
        <v>BE25001</v>
      </c>
      <c r="C51" s="13" t="str">
        <f ca="1">IFERROR(__xludf.UNSUPPORTED("""COMPUTED_VALUE"""),"SH 6 Pump Station Standby Generator")</f>
        <v>SH 6 Pump Station Standby Generator</v>
      </c>
      <c r="D51" s="27" t="s">
        <v>56</v>
      </c>
      <c r="E51" s="27"/>
      <c r="F51" s="27"/>
      <c r="G51" s="27"/>
      <c r="H51" s="27"/>
      <c r="I51" s="27"/>
      <c r="J51" s="28"/>
      <c r="K51" s="28"/>
      <c r="L51" s="28"/>
      <c r="M51" s="28"/>
      <c r="N51" s="29"/>
      <c r="O51" s="29"/>
      <c r="P51" s="29"/>
      <c r="Q51" s="29"/>
      <c r="R51" s="30"/>
      <c r="S51" s="30"/>
      <c r="T51" s="30"/>
      <c r="U51" s="30"/>
    </row>
    <row r="52" spans="1:27" ht="12.75">
      <c r="A52" s="38" t="s">
        <v>60</v>
      </c>
      <c r="B52" s="13" t="str">
        <f ca="1">IFERROR(__xludf.UNSUPPORTED("""COMPUTED_VALUE"""),"SCCE24001.1")</f>
        <v>SCCE24001.1</v>
      </c>
      <c r="C52" s="13" t="str">
        <f ca="1">IFERROR(__xludf.UNSUPPORTED("""COMPUTED_VALUE"""),"Bayshore, Ravenwood MS, Roseville Galleria Bus Charging &amp; Los Robles")</f>
        <v>Bayshore, Ravenwood MS, Roseville Galleria Bus Charging &amp; Los Robles</v>
      </c>
      <c r="D52" s="23" t="s">
        <v>56</v>
      </c>
      <c r="E52" s="23"/>
      <c r="F52" s="23"/>
      <c r="G52" s="23"/>
      <c r="H52" s="23"/>
      <c r="I52" s="23"/>
      <c r="J52" s="24"/>
      <c r="K52" s="24"/>
      <c r="L52" s="24"/>
      <c r="M52" s="24"/>
      <c r="N52" s="25"/>
      <c r="O52" s="25"/>
      <c r="P52" s="25"/>
      <c r="Q52" s="25"/>
      <c r="R52" s="26"/>
      <c r="S52" s="26"/>
      <c r="T52" s="26"/>
      <c r="U52" s="26"/>
    </row>
    <row r="53" spans="1:27" ht="12.75">
      <c r="A53" s="38" t="s">
        <v>60</v>
      </c>
      <c r="B53" s="13" t="str">
        <f ca="1">IFERROR(__xludf.UNSUPPORTED("""COMPUTED_VALUE"""),"CPE25004.1")</f>
        <v>CPE25004.1</v>
      </c>
      <c r="C53" s="13" t="str">
        <f ca="1">IFERROR(__xludf.UNSUPPORTED("""COMPUTED_VALUE"""),"OCH Catheterization Lab 
CO#1")</f>
        <v>OCH Catheterization Lab 
CO#1</v>
      </c>
      <c r="D53" s="23" t="s">
        <v>56</v>
      </c>
      <c r="E53" s="23"/>
      <c r="F53" s="23"/>
      <c r="G53" s="23"/>
      <c r="H53" s="23"/>
      <c r="I53" s="23"/>
      <c r="J53" s="24"/>
      <c r="K53" s="24"/>
      <c r="L53" s="24"/>
      <c r="M53" s="24"/>
      <c r="N53" s="25"/>
      <c r="O53" s="25"/>
      <c r="P53" s="25"/>
      <c r="Q53" s="25"/>
      <c r="R53" s="26"/>
      <c r="S53" s="26"/>
      <c r="T53" s="26"/>
      <c r="U53" s="26"/>
    </row>
    <row r="54" spans="1:27" ht="12.75">
      <c r="A54" s="38" t="s">
        <v>60</v>
      </c>
      <c r="B54" s="13" t="str">
        <f ca="1">IFERROR(__xludf.UNSUPPORTED("""COMPUTED_VALUE"""),"CSEC25001")</f>
        <v>CSEC25001</v>
      </c>
      <c r="C54" s="13" t="str">
        <f ca="1">IFERROR(__xludf.UNSUPPORTED("""COMPUTED_VALUE"""),"Industrial Wastewater Treatment Facility")</f>
        <v>Industrial Wastewater Treatment Facility</v>
      </c>
      <c r="D54" s="23" t="s">
        <v>56</v>
      </c>
      <c r="E54" s="23"/>
      <c r="F54" s="23"/>
      <c r="G54" s="23"/>
      <c r="H54" s="23"/>
      <c r="I54" s="23"/>
      <c r="J54" s="24"/>
      <c r="K54" s="24"/>
      <c r="L54" s="24"/>
      <c r="M54" s="24"/>
      <c r="N54" s="25"/>
      <c r="O54" s="25"/>
      <c r="P54" s="25"/>
      <c r="Q54" s="25"/>
      <c r="R54" s="26"/>
      <c r="S54" s="26"/>
      <c r="T54" s="26"/>
      <c r="U54" s="26"/>
    </row>
    <row r="55" spans="1:27" ht="12.75">
      <c r="A55" s="38" t="s">
        <v>60</v>
      </c>
      <c r="B55" s="13" t="str">
        <f ca="1">IFERROR(__xludf.UNSUPPORTED("""COMPUTED_VALUE"""),"CDI25001")</f>
        <v>CDI25001</v>
      </c>
      <c r="C55" s="13" t="str">
        <f ca="1">IFERROR(__xludf.UNSUPPORTED("""COMPUTED_VALUE"""),"Canadian Solar Project")</f>
        <v>Canadian Solar Project</v>
      </c>
      <c r="D55" s="23">
        <v>40</v>
      </c>
      <c r="E55" s="23"/>
      <c r="F55" s="23"/>
      <c r="G55" s="23"/>
      <c r="H55" s="23"/>
      <c r="I55" s="23">
        <v>40</v>
      </c>
      <c r="J55" s="24"/>
      <c r="K55" s="24"/>
      <c r="L55" s="24"/>
      <c r="M55" s="24"/>
      <c r="N55" s="25">
        <v>40</v>
      </c>
      <c r="O55" s="25"/>
      <c r="P55" s="25"/>
      <c r="Q55" s="25"/>
      <c r="R55" s="26"/>
      <c r="S55" s="26">
        <v>40</v>
      </c>
      <c r="T55" s="26"/>
      <c r="U55" s="26"/>
      <c r="X55">
        <v>40</v>
      </c>
    </row>
    <row r="56" spans="1:27" ht="12.75">
      <c r="A56" s="38" t="s">
        <v>60</v>
      </c>
      <c r="B56" s="13" t="str">
        <f ca="1">IFERROR(__xludf.UNSUPPORTED("""COMPUTED_VALUE"""),"AE25001")</f>
        <v>AE25001</v>
      </c>
      <c r="C56" s="13" t="str">
        <f ca="1">IFERROR(__xludf.UNSUPPORTED("""COMPUTED_VALUE"""),"Judy Water Treatment Plant W1 pump station replacement")</f>
        <v>Judy Water Treatment Plant W1 pump station replacement</v>
      </c>
      <c r="D56" s="23" t="s">
        <v>56</v>
      </c>
      <c r="E56" s="23"/>
      <c r="F56" s="23"/>
      <c r="G56" s="23"/>
      <c r="H56" s="23"/>
      <c r="I56" s="23" t="s">
        <v>56</v>
      </c>
      <c r="J56" s="24"/>
      <c r="K56" s="24"/>
      <c r="L56" s="24"/>
      <c r="M56" s="24"/>
      <c r="N56" s="25" t="s">
        <v>56</v>
      </c>
      <c r="O56" s="25"/>
      <c r="P56" s="25"/>
      <c r="Q56" s="25"/>
      <c r="R56" s="26"/>
      <c r="S56" s="26" t="s">
        <v>56</v>
      </c>
      <c r="T56" s="26"/>
      <c r="U56" s="26"/>
      <c r="X56" t="s">
        <v>56</v>
      </c>
    </row>
    <row r="57" spans="1:27" ht="12.75">
      <c r="A57" s="38" t="s">
        <v>60</v>
      </c>
      <c r="B57" s="13" t="str">
        <f ca="1">IFERROR(__xludf.UNSUPPORTED("""COMPUTED_VALUE"""),"NUE25001")</f>
        <v>NUE25001</v>
      </c>
      <c r="C57" s="13" t="str">
        <f ca="1">IFERROR(__xludf.UNSUPPORTED("""COMPUTED_VALUE"""),"DNR Electrical Upgrades -Meridian")</f>
        <v>DNR Electrical Upgrades -Meridian</v>
      </c>
      <c r="D57" s="23"/>
      <c r="E57" s="23">
        <v>5</v>
      </c>
      <c r="F57" s="23"/>
      <c r="G57" s="23"/>
      <c r="H57" s="23"/>
      <c r="I57" s="23"/>
      <c r="J57" s="24">
        <v>5</v>
      </c>
      <c r="K57" s="24"/>
      <c r="L57" s="24"/>
      <c r="M57" s="24"/>
      <c r="N57" s="25"/>
      <c r="O57" s="25">
        <v>5</v>
      </c>
      <c r="P57" s="25"/>
      <c r="Q57" s="25"/>
      <c r="R57" s="26"/>
      <c r="S57" s="26"/>
      <c r="T57" s="26">
        <v>5</v>
      </c>
      <c r="U57" s="26"/>
      <c r="Y57">
        <v>5</v>
      </c>
    </row>
    <row r="58" spans="1:27" ht="12.75">
      <c r="A58" s="38" t="s">
        <v>60</v>
      </c>
      <c r="B58" s="13" t="str">
        <f ca="1">IFERROR(__xludf.UNSUPPORTED("""COMPUTED_VALUE"""),"HE25003.1")</f>
        <v>HE25003.1</v>
      </c>
      <c r="C58" s="13" t="str">
        <f ca="1">IFERROR(__xludf.UNSUPPORTED("""COMPUTED_VALUE"""),"EED Schick Schadel SCCAF Study CO#1")</f>
        <v>EED Schick Schadel SCCAF Study CO#1</v>
      </c>
      <c r="D58" s="23"/>
      <c r="E58" s="23">
        <v>35</v>
      </c>
      <c r="F58" s="23">
        <v>19</v>
      </c>
      <c r="G58" s="23"/>
      <c r="H58" s="23"/>
      <c r="I58" s="23"/>
      <c r="J58" s="24">
        <v>35</v>
      </c>
      <c r="K58" s="24">
        <v>19</v>
      </c>
      <c r="L58" s="24"/>
      <c r="M58" s="24"/>
      <c r="N58" s="25"/>
      <c r="O58" s="25">
        <v>35</v>
      </c>
      <c r="P58" s="25">
        <v>19</v>
      </c>
      <c r="Q58" s="25"/>
      <c r="R58" s="26"/>
      <c r="S58" s="26"/>
      <c r="T58" s="26">
        <v>35</v>
      </c>
      <c r="U58" s="26">
        <v>19</v>
      </c>
      <c r="Y58">
        <v>35</v>
      </c>
      <c r="Z58">
        <v>19</v>
      </c>
    </row>
    <row r="59" spans="1:27" ht="12.75">
      <c r="A59" s="38" t="s">
        <v>60</v>
      </c>
      <c r="B59" s="13" t="str">
        <f ca="1">IFERROR(__xludf.UNSUPPORTED("""COMPUTED_VALUE"""),"CDI25001.1")</f>
        <v>CDI25001.1</v>
      </c>
      <c r="C59" s="13" t="str">
        <f ca="1">IFERROR(__xludf.UNSUPPORTED("""COMPUTED_VALUE"""),"Canadian Solar Project CO#1")</f>
        <v>Canadian Solar Project CO#1</v>
      </c>
      <c r="D59" s="23"/>
      <c r="E59" s="23"/>
      <c r="F59" s="23"/>
      <c r="G59" s="23"/>
      <c r="H59" s="23"/>
      <c r="I59" s="23"/>
      <c r="J59" s="24"/>
      <c r="K59" s="24"/>
      <c r="L59" s="24"/>
      <c r="M59" s="24"/>
      <c r="N59" s="25"/>
      <c r="O59" s="25"/>
      <c r="P59" s="25"/>
      <c r="Q59" s="25"/>
      <c r="R59" s="26"/>
      <c r="S59" s="26"/>
      <c r="T59" s="26"/>
      <c r="U59" s="26"/>
    </row>
    <row r="60" spans="1:27" ht="12.75">
      <c r="A60" s="38" t="s">
        <v>60</v>
      </c>
      <c r="B60" s="13" t="str">
        <f ca="1">IFERROR(__xludf.UNSUPPORTED("""COMPUTED_VALUE"""),"APB26001")</f>
        <v>APB26001</v>
      </c>
      <c r="C60" s="13" t="str">
        <f ca="1">IFERROR(__xludf.UNSUPPORTED("""COMPUTED_VALUE"""),"Island Transit Coupville Base")</f>
        <v>Island Transit Coupville Base</v>
      </c>
      <c r="D60" s="23"/>
      <c r="E60" s="23"/>
      <c r="F60" s="23">
        <v>21</v>
      </c>
      <c r="G60" s="23">
        <v>19</v>
      </c>
      <c r="H60" s="23"/>
      <c r="I60" s="23"/>
      <c r="J60" s="24"/>
      <c r="K60" s="24">
        <v>21</v>
      </c>
      <c r="L60" s="24">
        <v>19</v>
      </c>
      <c r="M60" s="24"/>
      <c r="N60" s="25"/>
      <c r="O60" s="25"/>
      <c r="P60" s="25">
        <v>21</v>
      </c>
      <c r="Q60" s="25">
        <v>19</v>
      </c>
      <c r="R60" s="26"/>
      <c r="S60" s="26"/>
      <c r="T60" s="26"/>
      <c r="U60" s="26">
        <v>21</v>
      </c>
      <c r="V60">
        <v>19</v>
      </c>
      <c r="Z60">
        <v>21</v>
      </c>
      <c r="AA60">
        <v>19</v>
      </c>
    </row>
    <row r="61" spans="1:27" ht="12.75">
      <c r="A61" s="38" t="s">
        <v>60</v>
      </c>
      <c r="B61" s="13" t="str">
        <f ca="1">IFERROR(__xludf.UNSUPPORTED("""COMPUTED_VALUE"""),"MBE26005")</f>
        <v>MBE26005</v>
      </c>
      <c r="C61" s="13" t="str">
        <f ca="1">IFERROR(__xludf.UNSUPPORTED("""COMPUTED_VALUE"""),"Dom 4 Lift Station MCC and CP Replacement Project")</f>
        <v>Dom 4 Lift Station MCC and CP Replacement Project</v>
      </c>
      <c r="D61" s="23"/>
      <c r="E61" s="23"/>
      <c r="F61" s="23"/>
      <c r="G61" s="23"/>
      <c r="H61" s="23"/>
      <c r="I61" s="23"/>
      <c r="J61" s="24"/>
      <c r="K61" s="24"/>
      <c r="L61" s="24"/>
      <c r="M61" s="24"/>
      <c r="N61" s="25"/>
      <c r="O61" s="25"/>
      <c r="P61" s="25"/>
      <c r="Q61" s="25"/>
      <c r="R61" s="26"/>
      <c r="S61" s="26"/>
      <c r="T61" s="26"/>
      <c r="U61" s="26"/>
    </row>
    <row r="62" spans="1:27" ht="12.75">
      <c r="A62" s="38" t="s">
        <v>60</v>
      </c>
      <c r="B62" s="13" t="str">
        <f ca="1">IFERROR(__xludf.UNSUPPORTED("""COMPUTED_VALUE"""),"SEC26002")</f>
        <v>SEC26002</v>
      </c>
      <c r="C62" s="13" t="str">
        <f ca="1">IFERROR(__xludf.UNSUPPORTED("""COMPUTED_VALUE"""),"Corporate Tenant Improvement - Phase 3")</f>
        <v>Corporate Tenant Improvement - Phase 3</v>
      </c>
      <c r="D62" s="23"/>
      <c r="E62" s="23"/>
      <c r="F62" s="23"/>
      <c r="G62" s="23"/>
      <c r="H62" s="23"/>
      <c r="I62" s="23"/>
      <c r="J62" s="24"/>
      <c r="K62" s="24"/>
      <c r="L62" s="24"/>
      <c r="M62" s="24"/>
      <c r="N62" s="25"/>
      <c r="O62" s="25"/>
      <c r="P62" s="25"/>
      <c r="Q62" s="25"/>
      <c r="R62" s="26"/>
      <c r="S62" s="26"/>
      <c r="T62" s="26"/>
      <c r="U62" s="26"/>
    </row>
    <row r="63" spans="1:27" ht="12.75">
      <c r="A63" s="38" t="s">
        <v>60</v>
      </c>
      <c r="B63" s="13" t="str">
        <f ca="1">IFERROR(__xludf.UNSUPPORTED("""COMPUTED_VALUE"""),"SEC26003")</f>
        <v>SEC26003</v>
      </c>
      <c r="C63" s="13" t="str">
        <f ca="1">IFERROR(__xludf.UNSUPPORTED("""COMPUTED_VALUE"""),"O'Neill Building West Wing, Lab 18 &amp; Lab 19")</f>
        <v>O'Neill Building West Wing, Lab 18 &amp; Lab 19</v>
      </c>
      <c r="D63" s="23"/>
      <c r="E63" s="23"/>
      <c r="F63" s="23"/>
      <c r="G63" s="23">
        <v>19</v>
      </c>
      <c r="H63" s="23"/>
      <c r="I63" s="23"/>
      <c r="J63" s="24"/>
      <c r="K63" s="24"/>
      <c r="L63" s="24">
        <v>19</v>
      </c>
      <c r="M63" s="24"/>
      <c r="N63" s="25"/>
      <c r="O63" s="25"/>
      <c r="P63" s="25"/>
      <c r="Q63" s="25">
        <v>19</v>
      </c>
      <c r="R63" s="26"/>
      <c r="S63" s="26"/>
      <c r="T63" s="26"/>
      <c r="U63" s="26"/>
      <c r="V63">
        <v>19</v>
      </c>
      <c r="AA63">
        <v>19</v>
      </c>
    </row>
    <row r="64" spans="1:27" ht="12.75">
      <c r="A64" s="38" t="s">
        <v>60</v>
      </c>
      <c r="B64" s="13" t="str">
        <f ca="1">IFERROR(__xludf.UNSUPPORTED("""COMPUTED_VALUE"""),"CPE25004.2")</f>
        <v>CPE25004.2</v>
      </c>
      <c r="C64" s="13" t="str">
        <f ca="1">IFERROR(__xludf.UNSUPPORTED("""COMPUTED_VALUE"""),"OCH Catheterization Lab 
CO#2")</f>
        <v>OCH Catheterization Lab 
CO#2</v>
      </c>
      <c r="D64" s="23"/>
      <c r="E64" s="23"/>
      <c r="F64" s="23"/>
      <c r="G64" s="23"/>
      <c r="H64" s="23"/>
      <c r="I64" s="23"/>
      <c r="J64" s="24"/>
      <c r="K64" s="24"/>
      <c r="L64" s="24"/>
      <c r="M64" s="24"/>
      <c r="N64" s="25"/>
      <c r="O64" s="25"/>
      <c r="P64" s="25"/>
      <c r="Q64" s="25"/>
      <c r="R64" s="26"/>
      <c r="S64" s="26"/>
      <c r="T64" s="26"/>
      <c r="U64" s="26"/>
    </row>
    <row r="65" spans="1:21" ht="12.75">
      <c r="A65" s="38" t="s">
        <v>60</v>
      </c>
      <c r="B65" s="1" t="str">
        <f ca="1">IFERROR(__xludf.UNSUPPORTED("""COMPUTED_VALUE"""),"SCCE26005")</f>
        <v>SCCE26005</v>
      </c>
      <c r="C65" s="1" t="str">
        <f ca="1">IFERROR(__xludf.UNSUPPORTED("""COMPUTED_VALUE"""),"City of Palo Alto - UCC Generator Replacement")</f>
        <v>City of Palo Alto - UCC Generator Replacement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spans="1:21" ht="12.75">
      <c r="A66" s="38" t="s">
        <v>60</v>
      </c>
      <c r="B66" s="1" t="str">
        <f ca="1">IFERROR(__xludf.UNSUPPORTED("""COMPUTED_VALUE"""),"PRE26004")</f>
        <v>PRE26004</v>
      </c>
      <c r="C66" s="1" t="str">
        <f ca="1">IFERROR(__xludf.UNSUPPORTED("""COMPUTED_VALUE"""),"Skywalker Phase 3.4A")</f>
        <v>Skywalker Phase 3.4A</v>
      </c>
      <c r="D66" s="31"/>
      <c r="E66" s="41"/>
      <c r="F66" s="42"/>
      <c r="G66" s="42"/>
      <c r="H66" s="42"/>
      <c r="I66" s="42"/>
      <c r="J66" s="41"/>
      <c r="K66" s="42"/>
      <c r="L66" s="42"/>
      <c r="M66" s="42"/>
      <c r="N66" s="41"/>
      <c r="O66" s="42"/>
      <c r="P66" s="42"/>
      <c r="Q66" s="42"/>
      <c r="R66" s="41"/>
      <c r="S66" s="42"/>
      <c r="T66" s="42"/>
      <c r="U66" s="42"/>
    </row>
    <row r="67" spans="1:21" ht="12.75">
      <c r="A67" s="38" t="s">
        <v>60</v>
      </c>
      <c r="B67" s="1" t="str">
        <f ca="1">IFERROR(__xludf.UNSUPPORTED("""COMPUTED_VALUE"""),"APB26004
")</f>
        <v xml:space="preserve">APB26004
</v>
      </c>
      <c r="C67" s="1" t="str">
        <f ca="1">IFERROR(__xludf.UNSUPPORTED("""COMPUTED_VALUE"""),"Oak Harbor Storage CTE Building
")</f>
        <v xml:space="preserve">Oak Harbor Storage CTE Building
</v>
      </c>
      <c r="D67" s="32"/>
      <c r="E67" s="23"/>
      <c r="F67" s="23"/>
      <c r="G67" s="23"/>
      <c r="H67" s="23"/>
      <c r="I67" s="23"/>
      <c r="J67" s="24"/>
      <c r="K67" s="24"/>
      <c r="L67" s="24"/>
      <c r="M67" s="24"/>
      <c r="N67" s="25"/>
      <c r="O67" s="25"/>
      <c r="P67" s="25"/>
      <c r="Q67" s="25"/>
      <c r="R67" s="26"/>
      <c r="S67" s="26"/>
      <c r="T67" s="26"/>
      <c r="U67" s="26"/>
    </row>
    <row r="68" spans="1:21" ht="12.75">
      <c r="A68" s="38" t="s">
        <v>60</v>
      </c>
      <c r="B68" s="1" t="str">
        <f ca="1">IFERROR(__xludf.UNSUPPORTED("""COMPUTED_VALUE"""),"HE26003.2
")</f>
        <v xml:space="preserve">HE26003.2
</v>
      </c>
      <c r="C68" s="1" t="str">
        <f ca="1">IFERROR(__xludf.UNSUPPORTED("""COMPUTED_VALUE"""),"EED Schick Schadel SCCAF Study CO#2
")</f>
        <v xml:space="preserve">EED Schick Schadel SCCAF Study CO#2
</v>
      </c>
      <c r="D68" s="32"/>
      <c r="E68" s="23"/>
      <c r="F68" s="23"/>
      <c r="G68" s="23"/>
      <c r="H68" s="23"/>
      <c r="I68" s="23"/>
      <c r="J68" s="24"/>
      <c r="K68" s="24"/>
      <c r="L68" s="24"/>
      <c r="M68" s="24"/>
      <c r="N68" s="25"/>
      <c r="O68" s="25"/>
      <c r="P68" s="25"/>
      <c r="Q68" s="25"/>
      <c r="R68" s="26"/>
      <c r="S68" s="26"/>
      <c r="T68" s="26"/>
      <c r="U68" s="26"/>
    </row>
    <row r="69" spans="1:21" ht="12.75">
      <c r="D69" s="32"/>
      <c r="E69" s="23"/>
      <c r="F69" s="23"/>
      <c r="G69" s="23"/>
      <c r="H69" s="23"/>
      <c r="I69" s="23"/>
      <c r="J69" s="24"/>
      <c r="K69" s="24"/>
      <c r="L69" s="24"/>
      <c r="M69" s="24"/>
      <c r="N69" s="25"/>
      <c r="O69" s="25"/>
      <c r="P69" s="25"/>
      <c r="Q69" s="25"/>
      <c r="R69" s="26"/>
      <c r="S69" s="26"/>
      <c r="T69" s="26"/>
      <c r="U69" s="26"/>
    </row>
    <row r="70" spans="1:21" ht="12.75">
      <c r="D70" s="32"/>
      <c r="E70" s="23"/>
      <c r="F70" s="23"/>
      <c r="G70" s="23"/>
      <c r="H70" s="23"/>
      <c r="I70" s="23"/>
      <c r="J70" s="24"/>
      <c r="K70" s="24"/>
      <c r="L70" s="24"/>
      <c r="M70" s="24"/>
      <c r="N70" s="25"/>
      <c r="O70" s="25"/>
      <c r="P70" s="25"/>
      <c r="Q70" s="25"/>
      <c r="R70" s="26"/>
      <c r="S70" s="26"/>
      <c r="T70" s="26"/>
      <c r="U70" s="26"/>
    </row>
    <row r="71" spans="1:21" ht="12.75">
      <c r="D71" s="32"/>
      <c r="E71" s="23"/>
      <c r="F71" s="23"/>
      <c r="G71" s="23"/>
      <c r="H71" s="23"/>
      <c r="I71" s="23"/>
      <c r="J71" s="24"/>
      <c r="K71" s="24"/>
      <c r="L71" s="24"/>
      <c r="M71" s="24"/>
      <c r="N71" s="25"/>
      <c r="O71" s="25"/>
      <c r="P71" s="25"/>
      <c r="Q71" s="25"/>
      <c r="R71" s="26"/>
      <c r="S71" s="26"/>
      <c r="T71" s="26"/>
      <c r="U71" s="26"/>
    </row>
    <row r="72" spans="1:21" ht="12.75">
      <c r="D72" s="32"/>
      <c r="E72" s="23"/>
      <c r="F72" s="23"/>
      <c r="G72" s="23"/>
      <c r="H72" s="23"/>
      <c r="I72" s="23"/>
      <c r="J72" s="24"/>
      <c r="K72" s="24"/>
      <c r="L72" s="24"/>
      <c r="M72" s="24"/>
      <c r="N72" s="25"/>
      <c r="O72" s="25"/>
      <c r="P72" s="25"/>
      <c r="Q72" s="25"/>
      <c r="R72" s="26"/>
      <c r="S72" s="26"/>
      <c r="T72" s="26"/>
      <c r="U72" s="26"/>
    </row>
    <row r="73" spans="1:21" ht="12.75">
      <c r="D73" s="32"/>
      <c r="E73" s="23"/>
      <c r="F73" s="23"/>
      <c r="G73" s="23"/>
      <c r="H73" s="23"/>
      <c r="I73" s="23"/>
      <c r="J73" s="24"/>
      <c r="K73" s="24"/>
      <c r="L73" s="24"/>
      <c r="M73" s="24"/>
      <c r="N73" s="25"/>
      <c r="O73" s="25"/>
      <c r="P73" s="25"/>
      <c r="Q73" s="25"/>
      <c r="R73" s="26"/>
      <c r="S73" s="26"/>
      <c r="T73" s="26"/>
      <c r="U73" s="26"/>
    </row>
    <row r="74" spans="1:21" ht="12.75">
      <c r="D74" s="32"/>
      <c r="E74" s="23"/>
      <c r="F74" s="23"/>
      <c r="G74" s="23"/>
      <c r="H74" s="23"/>
      <c r="I74" s="23"/>
      <c r="J74" s="24"/>
      <c r="K74" s="24"/>
      <c r="L74" s="24"/>
      <c r="M74" s="24"/>
      <c r="N74" s="25"/>
      <c r="O74" s="25"/>
      <c r="P74" s="25"/>
      <c r="Q74" s="25"/>
      <c r="R74" s="26"/>
      <c r="S74" s="26"/>
      <c r="T74" s="26"/>
      <c r="U74" s="26"/>
    </row>
    <row r="75" spans="1:21" ht="12.75">
      <c r="D75" s="32"/>
      <c r="E75" s="23"/>
      <c r="F75" s="23"/>
      <c r="G75" s="23"/>
      <c r="H75" s="23"/>
      <c r="I75" s="23"/>
      <c r="J75" s="24"/>
      <c r="K75" s="24"/>
      <c r="L75" s="24"/>
      <c r="M75" s="24"/>
      <c r="N75" s="25"/>
      <c r="O75" s="25"/>
      <c r="P75" s="25"/>
      <c r="Q75" s="25"/>
      <c r="R75" s="26"/>
      <c r="S75" s="26"/>
      <c r="T75" s="26"/>
      <c r="U75" s="26"/>
    </row>
    <row r="76" spans="1:21" ht="12.75">
      <c r="A76" s="38" t="s">
        <v>61</v>
      </c>
      <c r="B76" s="13" t="str">
        <f ca="1">IFERROR(__xludf.UNSUPPORTED("INDEX(
  SORT(FILTER({PROJECTS!A:A, PROJECTS!D:D}, PROJECTS!E:E = A84), 2, TRUE),
  ,
  1
)"),"PCLIS24001")</f>
        <v>PCLIS24001</v>
      </c>
      <c r="C76" s="13" t="str">
        <f ca="1">IFERROR(__xludf.UNSUPPORTED("INDEX(
  SORT(FILTER({PROJECTS!C:C, PROJECTS!D:D}, PROJECTS!E:E = A84), 2, TRUE),
  ,
  1
)"),"PHX 72 Neher McGrath Study for MV Duct Banks + LV")</f>
        <v>PHX 72 Neher McGrath Study for MV Duct Banks + LV</v>
      </c>
      <c r="D76" s="23"/>
      <c r="E76" s="23"/>
      <c r="F76" s="23"/>
      <c r="G76" s="23"/>
      <c r="H76" s="23" t="s">
        <v>56</v>
      </c>
      <c r="I76" s="23"/>
      <c r="J76" s="24"/>
      <c r="K76" s="24"/>
      <c r="L76" s="24"/>
      <c r="M76" s="24"/>
      <c r="N76" s="25"/>
      <c r="O76" s="25"/>
      <c r="P76" s="25"/>
      <c r="Q76" s="25"/>
      <c r="R76" s="26"/>
      <c r="S76" s="26"/>
      <c r="T76" s="26"/>
      <c r="U76" s="26"/>
    </row>
    <row r="77" spans="1:21" ht="12.75">
      <c r="A77" s="38" t="s">
        <v>61</v>
      </c>
      <c r="B77" s="13" t="str">
        <f ca="1">IFERROR(__xludf.UNSUPPORTED("""COMPUTED_VALUE"""),"HBH24003")</f>
        <v>HBH24003</v>
      </c>
      <c r="C77" s="13" t="str">
        <f ca="1">IFERROR(__xludf.UNSUPPORTED("""COMPUTED_VALUE"""),"DOW SCO")</f>
        <v>DOW SCO</v>
      </c>
      <c r="D77" s="23"/>
      <c r="E77" s="23"/>
      <c r="F77" s="23"/>
      <c r="G77" s="23"/>
      <c r="H77" s="23" t="s">
        <v>56</v>
      </c>
      <c r="I77" s="23"/>
      <c r="J77" s="24"/>
      <c r="K77" s="24"/>
      <c r="L77" s="24"/>
      <c r="M77" s="24"/>
      <c r="N77" s="25"/>
      <c r="O77" s="25"/>
      <c r="P77" s="25"/>
      <c r="Q77" s="25"/>
      <c r="R77" s="26"/>
      <c r="S77" s="26"/>
      <c r="T77" s="26"/>
      <c r="U77" s="26"/>
    </row>
    <row r="78" spans="1:21" ht="12.75">
      <c r="A78" s="38" t="s">
        <v>61</v>
      </c>
      <c r="B78" s="13" t="str">
        <f ca="1">IFERROR(__xludf.UNSUPPORTED("""COMPUTED_VALUE"""),"OEI25001")</f>
        <v>OEI25001</v>
      </c>
      <c r="C78" s="13" t="str">
        <f ca="1">IFERROR(__xludf.UNSUPPORTED("""COMPUTED_VALUE"""),"Sapporo Teriyaki")</f>
        <v>Sapporo Teriyaki</v>
      </c>
      <c r="D78" s="23"/>
      <c r="E78" s="23"/>
      <c r="F78" s="23"/>
      <c r="G78" s="23"/>
      <c r="H78" s="23"/>
      <c r="I78" s="23"/>
      <c r="J78" s="24"/>
      <c r="K78" s="24"/>
      <c r="L78" s="24"/>
      <c r="M78" s="24"/>
      <c r="N78" s="25"/>
      <c r="O78" s="25"/>
      <c r="P78" s="25"/>
      <c r="Q78" s="25"/>
      <c r="R78" s="26"/>
      <c r="S78" s="26"/>
      <c r="T78" s="26"/>
      <c r="U78" s="26"/>
    </row>
    <row r="79" spans="1:21" ht="12.75">
      <c r="A79" s="38" t="s">
        <v>61</v>
      </c>
      <c r="B79" s="13" t="str">
        <f ca="1">IFERROR(__xludf.UNSUPPORTED("""COMPUTED_VALUE"""),"TKE25001")</f>
        <v>TKE25001</v>
      </c>
      <c r="C79" s="13" t="str">
        <f ca="1">IFERROR(__xludf.UNSUPPORTED("""COMPUTED_VALUE"""),"Tierra Blanca WWTP")</f>
        <v>Tierra Blanca WWTP</v>
      </c>
      <c r="D79" s="23"/>
      <c r="E79" s="23"/>
      <c r="F79" s="23"/>
      <c r="G79" s="23"/>
      <c r="H79" s="23"/>
      <c r="I79" s="23"/>
      <c r="J79" s="24"/>
      <c r="K79" s="24"/>
      <c r="L79" s="24"/>
      <c r="M79" s="24"/>
      <c r="N79" s="25"/>
      <c r="O79" s="25"/>
      <c r="P79" s="25"/>
      <c r="Q79" s="25"/>
      <c r="R79" s="26"/>
      <c r="S79" s="26"/>
      <c r="T79" s="26"/>
      <c r="U79" s="26"/>
    </row>
    <row r="80" spans="1:21" ht="12.75">
      <c r="A80" s="38" t="s">
        <v>61</v>
      </c>
      <c r="B80" s="13" t="str">
        <f ca="1">IFERROR(__xludf.UNSUPPORTED("""COMPUTED_VALUE"""),"BIE25001")</f>
        <v>BIE25001</v>
      </c>
      <c r="C80" s="13" t="str">
        <f ca="1">IFERROR(__xludf.UNSUPPORTED("""COMPUTED_VALUE"""),"Oroville WWTP Upgrade")</f>
        <v>Oroville WWTP Upgrade</v>
      </c>
      <c r="D80" s="23"/>
      <c r="E80" s="23"/>
      <c r="F80" s="23"/>
      <c r="G80" s="23"/>
      <c r="H80" s="23"/>
      <c r="I80" s="23"/>
      <c r="J80" s="24"/>
      <c r="K80" s="24"/>
      <c r="L80" s="24"/>
      <c r="M80" s="24"/>
      <c r="N80" s="25"/>
      <c r="O80" s="25"/>
      <c r="P80" s="25"/>
      <c r="Q80" s="25"/>
      <c r="R80" s="26"/>
      <c r="S80" s="26"/>
      <c r="T80" s="26"/>
      <c r="U80" s="26"/>
    </row>
    <row r="81" spans="1:27" ht="12.75">
      <c r="A81" s="38" t="s">
        <v>61</v>
      </c>
      <c r="B81" s="13" t="str">
        <f ca="1">IFERROR(__xludf.UNSUPPORTED("""COMPUTED_VALUE"""),"JEC25001")</f>
        <v>JEC25001</v>
      </c>
      <c r="C81" s="13" t="str">
        <f ca="1">IFERROR(__xludf.UNSUPPORTED("""COMPUTED_VALUE"""),"Woodbine Development Project")</f>
        <v>Woodbine Development Project</v>
      </c>
      <c r="D81" s="23">
        <v>40</v>
      </c>
      <c r="E81" s="23"/>
      <c r="F81" s="23"/>
      <c r="G81" s="23"/>
      <c r="H81" s="23"/>
      <c r="I81" s="23">
        <v>40</v>
      </c>
      <c r="J81" s="24"/>
      <c r="K81" s="24"/>
      <c r="L81" s="24"/>
      <c r="M81" s="24"/>
      <c r="N81" s="25">
        <v>40</v>
      </c>
      <c r="O81" s="25"/>
      <c r="P81" s="25"/>
      <c r="Q81" s="25"/>
      <c r="R81" s="26"/>
      <c r="S81" s="26">
        <v>40</v>
      </c>
      <c r="T81" s="26"/>
      <c r="U81" s="26"/>
      <c r="X81">
        <v>40</v>
      </c>
    </row>
    <row r="82" spans="1:27" ht="12.75">
      <c r="A82" s="38" t="s">
        <v>61</v>
      </c>
      <c r="B82" s="13" t="str">
        <f ca="1">IFERROR(__xludf.UNSUPPORTED("""COMPUTED_VALUE"""),"SEC25001")</f>
        <v>SEC25001</v>
      </c>
      <c r="C82" s="13" t="str">
        <f ca="1">IFERROR(__xludf.UNSUPPORTED("""COMPUTED_VALUE"""),"Sumner Station")</f>
        <v>Sumner Station</v>
      </c>
      <c r="D82" s="23" t="s">
        <v>56</v>
      </c>
      <c r="E82" s="23"/>
      <c r="F82" s="23"/>
      <c r="G82" s="23"/>
      <c r="H82" s="23"/>
      <c r="I82" s="23" t="s">
        <v>56</v>
      </c>
      <c r="J82" s="24"/>
      <c r="K82" s="24"/>
      <c r="L82" s="24"/>
      <c r="M82" s="24"/>
      <c r="N82" s="25" t="s">
        <v>56</v>
      </c>
      <c r="O82" s="25"/>
      <c r="P82" s="25"/>
      <c r="Q82" s="25"/>
      <c r="R82" s="26"/>
      <c r="S82" s="26" t="s">
        <v>56</v>
      </c>
      <c r="T82" s="26"/>
      <c r="U82" s="26"/>
      <c r="X82" t="s">
        <v>56</v>
      </c>
    </row>
    <row r="83" spans="1:27" ht="12.75">
      <c r="A83" s="38" t="s">
        <v>61</v>
      </c>
      <c r="B83" s="13" t="str">
        <f ca="1">IFERROR(__xludf.UNSUPPORTED("""COMPUTED_VALUE"""),"ATS25007")</f>
        <v>ATS25007</v>
      </c>
      <c r="C83" s="13" t="str">
        <f ca="1">IFERROR(__xludf.UNSUPPORTED("""COMPUTED_VALUE"""),"Old Settlers Park - 3 Sites")</f>
        <v>Old Settlers Park - 3 Sites</v>
      </c>
      <c r="D83" s="23"/>
      <c r="E83" s="23">
        <v>5</v>
      </c>
      <c r="F83" s="23"/>
      <c r="G83" s="23"/>
      <c r="H83" s="23"/>
      <c r="I83" s="23"/>
      <c r="J83" s="24">
        <v>5</v>
      </c>
      <c r="K83" s="24"/>
      <c r="L83" s="24"/>
      <c r="M83" s="24"/>
      <c r="N83" s="25"/>
      <c r="O83" s="25">
        <v>5</v>
      </c>
      <c r="P83" s="25"/>
      <c r="Q83" s="25"/>
      <c r="R83" s="26"/>
      <c r="S83" s="26"/>
      <c r="T83" s="26">
        <v>5</v>
      </c>
      <c r="U83" s="26"/>
      <c r="Y83">
        <v>5</v>
      </c>
    </row>
    <row r="84" spans="1:27" ht="12.75">
      <c r="A84" s="38" t="s">
        <v>61</v>
      </c>
      <c r="B84" s="13" t="str">
        <f ca="1">IFERROR(__xludf.UNSUPPORTED("""COMPUTED_VALUE"""),"ATS25008")</f>
        <v>ATS25008</v>
      </c>
      <c r="C84" s="13" t="str">
        <f ca="1">IFERROR(__xludf.UNSUPPORTED("""COMPUTED_VALUE"""),"AMD Building D")</f>
        <v>AMD Building D</v>
      </c>
      <c r="D84" s="23"/>
      <c r="E84" s="23">
        <v>35</v>
      </c>
      <c r="F84" s="23">
        <v>19</v>
      </c>
      <c r="G84" s="23"/>
      <c r="H84" s="23"/>
      <c r="I84" s="23"/>
      <c r="J84" s="24">
        <v>35</v>
      </c>
      <c r="K84" s="24">
        <v>19</v>
      </c>
      <c r="L84" s="24"/>
      <c r="M84" s="24"/>
      <c r="N84" s="25"/>
      <c r="O84" s="25">
        <v>35</v>
      </c>
      <c r="P84" s="25">
        <v>19</v>
      </c>
      <c r="Q84" s="25"/>
      <c r="R84" s="26"/>
      <c r="S84" s="26"/>
      <c r="T84" s="26">
        <v>35</v>
      </c>
      <c r="U84" s="26">
        <v>19</v>
      </c>
      <c r="Y84">
        <v>35</v>
      </c>
      <c r="Z84">
        <v>19</v>
      </c>
    </row>
    <row r="85" spans="1:27" ht="12.75">
      <c r="A85" s="38" t="s">
        <v>61</v>
      </c>
      <c r="B85" s="13" t="str">
        <f ca="1">IFERROR(__xludf.UNSUPPORTED("""COMPUTED_VALUE"""),"OEMA25001")</f>
        <v>OEMA25001</v>
      </c>
      <c r="C85" s="13" t="str">
        <f ca="1">IFERROR(__xludf.UNSUPPORTED("""COMPUTED_VALUE"""),"Fairlife Neher McGrath Study")</f>
        <v>Fairlife Neher McGrath Study</v>
      </c>
      <c r="D85" s="23"/>
      <c r="E85" s="23"/>
      <c r="F85" s="23"/>
      <c r="G85" s="23"/>
      <c r="H85" s="23"/>
      <c r="I85" s="23"/>
      <c r="J85" s="24"/>
      <c r="K85" s="24"/>
      <c r="L85" s="24"/>
      <c r="M85" s="24"/>
      <c r="N85" s="25"/>
      <c r="O85" s="25"/>
      <c r="P85" s="25"/>
      <c r="Q85" s="25"/>
      <c r="R85" s="26"/>
      <c r="S85" s="26"/>
      <c r="T85" s="26"/>
      <c r="U85" s="26"/>
    </row>
    <row r="86" spans="1:27" ht="12.75">
      <c r="A86" s="38" t="s">
        <v>61</v>
      </c>
      <c r="B86" s="13" t="str">
        <f ca="1">IFERROR(__xludf.UNSUPPORTED("""COMPUTED_VALUE"""),"PDI25001")</f>
        <v>PDI25001</v>
      </c>
      <c r="C86" s="13" t="str">
        <f ca="1">IFERROR(__xludf.UNSUPPORTED("""COMPUTED_VALUE"""),"10MW ALBQ Data Center Neher McGrath Study")</f>
        <v>10MW ALBQ Data Center Neher McGrath Study</v>
      </c>
      <c r="D86" s="23"/>
      <c r="E86" s="23"/>
      <c r="F86" s="23">
        <v>21</v>
      </c>
      <c r="G86" s="23">
        <v>19</v>
      </c>
      <c r="H86" s="23"/>
      <c r="I86" s="23"/>
      <c r="J86" s="24"/>
      <c r="K86" s="24">
        <v>21</v>
      </c>
      <c r="L86" s="24">
        <v>19</v>
      </c>
      <c r="M86" s="24"/>
      <c r="N86" s="25"/>
      <c r="O86" s="25"/>
      <c r="P86" s="25">
        <v>21</v>
      </c>
      <c r="Q86" s="25">
        <v>19</v>
      </c>
      <c r="R86" s="26"/>
      <c r="S86" s="26"/>
      <c r="T86" s="26"/>
      <c r="U86" s="26">
        <v>21</v>
      </c>
      <c r="V86">
        <v>19</v>
      </c>
      <c r="Z86">
        <v>21</v>
      </c>
      <c r="AA86">
        <v>19</v>
      </c>
    </row>
    <row r="87" spans="1:27" ht="12.75">
      <c r="A87" s="38" t="s">
        <v>61</v>
      </c>
      <c r="B87" s="13" t="str">
        <f ca="1">IFERROR(__xludf.UNSUPPORTED("""COMPUTED_VALUE"""),"ATS25012")</f>
        <v>ATS25012</v>
      </c>
      <c r="C87" s="13" t="str">
        <f ca="1">IFERROR(__xludf.UNSUPPORTED("""COMPUTED_VALUE"""),"DELL-PC1 SCCAF Studies")</f>
        <v>DELL-PC1 SCCAF Studies</v>
      </c>
      <c r="D87" s="23"/>
      <c r="E87" s="23"/>
      <c r="F87" s="23"/>
      <c r="G87" s="23"/>
      <c r="H87" s="23"/>
      <c r="I87" s="23"/>
      <c r="J87" s="24"/>
      <c r="K87" s="24"/>
      <c r="L87" s="24"/>
      <c r="M87" s="24"/>
      <c r="N87" s="25"/>
      <c r="O87" s="25"/>
      <c r="P87" s="25"/>
      <c r="Q87" s="25"/>
      <c r="R87" s="26"/>
      <c r="S87" s="26"/>
      <c r="T87" s="26"/>
      <c r="U87" s="26"/>
    </row>
    <row r="88" spans="1:27" ht="12.75">
      <c r="A88" s="38" t="s">
        <v>61</v>
      </c>
      <c r="B88" s="13" t="str">
        <f ca="1">IFERROR(__xludf.UNSUPPORTED("""COMPUTED_VALUE"""),"ATS25008.4 ")</f>
        <v xml:space="preserve">ATS25008.4 </v>
      </c>
      <c r="C88" s="13" t="str">
        <f ca="1">IFERROR(__xludf.UNSUPPORTED("""COMPUTED_VALUE"""),"AMD Building D CO#4")</f>
        <v>AMD Building D CO#4</v>
      </c>
      <c r="D88" s="23"/>
      <c r="E88" s="23"/>
      <c r="F88" s="23"/>
      <c r="G88" s="23"/>
      <c r="H88" s="23"/>
      <c r="I88" s="23"/>
      <c r="J88" s="24"/>
      <c r="K88" s="24"/>
      <c r="L88" s="24"/>
      <c r="M88" s="24"/>
      <c r="N88" s="25"/>
      <c r="O88" s="25"/>
      <c r="P88" s="25"/>
      <c r="Q88" s="25"/>
      <c r="R88" s="26"/>
      <c r="S88" s="26"/>
      <c r="T88" s="26"/>
      <c r="U88" s="26"/>
    </row>
    <row r="89" spans="1:27" ht="12.75">
      <c r="A89" s="38" t="s">
        <v>61</v>
      </c>
      <c r="B89" s="1" t="str">
        <f ca="1">IFERROR(__xludf.UNSUPPORTED("""COMPUTED_VALUE"""),"GWE25001.1")</f>
        <v>GWE25001.1</v>
      </c>
      <c r="C89" s="1" t="str">
        <f ca="1">IFERROR(__xludf.UNSUPPORTED("""COMPUTED_VALUE"""),"Snubber Nucor Gallatin Facility CO#1")</f>
        <v>Snubber Nucor Gallatin Facility CO#1</v>
      </c>
      <c r="D89" s="23"/>
      <c r="E89" s="23"/>
      <c r="F89" s="23"/>
      <c r="G89" s="23"/>
      <c r="H89" s="23"/>
      <c r="I89" s="23"/>
      <c r="J89" s="24"/>
      <c r="K89" s="24"/>
      <c r="L89" s="24"/>
      <c r="M89" s="24"/>
      <c r="N89" s="25"/>
      <c r="O89" s="25"/>
      <c r="P89" s="25"/>
      <c r="Q89" s="25"/>
      <c r="R89" s="26"/>
      <c r="S89" s="26"/>
      <c r="T89" s="26"/>
      <c r="U89" s="26"/>
    </row>
    <row r="90" spans="1:27" ht="20.25" customHeight="1">
      <c r="A90" s="38" t="s">
        <v>61</v>
      </c>
      <c r="B90" s="1" t="str">
        <f ca="1">IFERROR(__xludf.UNSUPPORTED("""COMPUTED_VALUE"""),"GPS26006")</f>
        <v>GPS26006</v>
      </c>
      <c r="C90" s="1" t="str">
        <f ca="1">IFERROR(__xludf.UNSUPPORTED("""COMPUTED_VALUE"""),"Domiguez Water Pump Coordination Study")</f>
        <v>Domiguez Water Pump Coordination Study</v>
      </c>
      <c r="D90" s="23"/>
      <c r="E90" s="23"/>
      <c r="F90" s="23"/>
      <c r="G90" s="23"/>
      <c r="H90" s="23"/>
      <c r="I90" s="23"/>
      <c r="J90" s="24"/>
      <c r="K90" s="24"/>
      <c r="L90" s="24"/>
      <c r="M90" s="24"/>
      <c r="N90" s="25"/>
      <c r="O90" s="25"/>
      <c r="P90" s="25"/>
      <c r="Q90" s="25"/>
      <c r="R90" s="26"/>
      <c r="S90" s="26"/>
      <c r="T90" s="26"/>
      <c r="U90" s="26"/>
    </row>
    <row r="91" spans="1:27" ht="12.75">
      <c r="A91" s="38" t="s">
        <v>61</v>
      </c>
      <c r="B91" s="1" t="str">
        <f ca="1">IFERROR(__xludf.UNSUPPORTED("""COMPUTED_VALUE"""),"SJE26001
")</f>
        <v xml:space="preserve">SJE26001
</v>
      </c>
      <c r="C91" s="1" t="str">
        <f ca="1">IFERROR(__xludf.UNSUPPORTED("""COMPUTED_VALUE"""),"Sewage Pump Station Improvement - North Tahoe PUD
")</f>
        <v xml:space="preserve">Sewage Pump Station Improvement - North Tahoe PUD
</v>
      </c>
      <c r="D91" s="23"/>
      <c r="E91" s="23"/>
      <c r="F91" s="23"/>
      <c r="G91" s="23">
        <v>19</v>
      </c>
      <c r="H91" s="23"/>
      <c r="I91" s="23"/>
      <c r="J91" s="24"/>
      <c r="K91" s="24"/>
      <c r="L91" s="24">
        <v>19</v>
      </c>
      <c r="M91" s="24"/>
      <c r="N91" s="25"/>
      <c r="O91" s="25"/>
      <c r="P91" s="25"/>
      <c r="Q91" s="25">
        <v>19</v>
      </c>
      <c r="R91" s="26"/>
      <c r="S91" s="26"/>
      <c r="T91" s="26"/>
      <c r="U91" s="26"/>
      <c r="V91">
        <v>19</v>
      </c>
      <c r="AA91">
        <v>19</v>
      </c>
    </row>
    <row r="92" spans="1:27" ht="12.75">
      <c r="A92" s="38" t="s">
        <v>61</v>
      </c>
      <c r="B92" s="1" t="str">
        <f ca="1">IFERROR(__xludf.UNSUPPORTED("""COMPUTED_VALUE"""),"SEC25001.1")</f>
        <v>SEC25001.1</v>
      </c>
      <c r="C92" s="1" t="str">
        <f ca="1">IFERROR(__xludf.UNSUPPORTED("""COMPUTED_VALUE"""),"Sumner Station CO#2
")</f>
        <v xml:space="preserve">Sumner Station CO#2
</v>
      </c>
      <c r="D92" s="23"/>
      <c r="E92" s="23"/>
      <c r="F92" s="23"/>
      <c r="G92" s="23"/>
      <c r="H92" s="23"/>
      <c r="I92" s="23"/>
      <c r="J92" s="24"/>
      <c r="K92" s="24"/>
      <c r="L92" s="24"/>
      <c r="M92" s="24"/>
      <c r="N92" s="25"/>
      <c r="O92" s="25"/>
      <c r="P92" s="25"/>
      <c r="Q92" s="25"/>
      <c r="R92" s="26"/>
      <c r="S92" s="26"/>
      <c r="T92" s="26"/>
      <c r="U92" s="26"/>
    </row>
    <row r="93" spans="1:27" ht="12.75">
      <c r="A93" s="2"/>
      <c r="D93" s="31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7" ht="12.75">
      <c r="D94" s="32"/>
      <c r="E94" s="23"/>
      <c r="F94" s="23"/>
      <c r="G94" s="23"/>
      <c r="H94" s="23"/>
      <c r="I94" s="23"/>
      <c r="J94" s="24"/>
      <c r="K94" s="24"/>
      <c r="L94" s="24"/>
      <c r="M94" s="24"/>
      <c r="N94" s="25"/>
      <c r="O94" s="25"/>
      <c r="P94" s="25"/>
      <c r="Q94" s="25"/>
      <c r="R94" s="26"/>
      <c r="S94" s="26"/>
      <c r="T94" s="26"/>
      <c r="U94" s="26"/>
    </row>
    <row r="95" spans="1:27" ht="12.75">
      <c r="D95" s="32"/>
      <c r="E95" s="23"/>
      <c r="F95" s="23"/>
      <c r="G95" s="23"/>
      <c r="H95" s="23"/>
      <c r="I95" s="23"/>
      <c r="J95" s="24"/>
      <c r="K95" s="24"/>
      <c r="L95" s="24"/>
      <c r="M95" s="24"/>
      <c r="N95" s="25"/>
      <c r="O95" s="25"/>
      <c r="P95" s="25"/>
      <c r="Q95" s="25"/>
      <c r="R95" s="26"/>
      <c r="S95" s="26"/>
      <c r="T95" s="26"/>
      <c r="U95" s="26"/>
    </row>
    <row r="96" spans="1:27" ht="12.75">
      <c r="D96" s="32"/>
      <c r="E96" s="23"/>
      <c r="F96" s="23"/>
      <c r="G96" s="23"/>
      <c r="H96" s="23"/>
      <c r="I96" s="23"/>
      <c r="J96" s="24"/>
      <c r="K96" s="24"/>
      <c r="L96" s="24"/>
      <c r="M96" s="24"/>
      <c r="N96" s="25"/>
      <c r="O96" s="25"/>
      <c r="P96" s="25"/>
      <c r="Q96" s="25"/>
      <c r="R96" s="26"/>
      <c r="S96" s="26"/>
      <c r="T96" s="26"/>
      <c r="U96" s="26"/>
    </row>
    <row r="97" spans="1:27" ht="12.75">
      <c r="A97" s="38" t="s">
        <v>62</v>
      </c>
      <c r="B97" s="13" t="str">
        <f ca="1">IFERROR(__xludf.UNSUPPORTED("INDEX(
  SORT(FILTER({PROJECTS!A:A, PROJECTS!D:D}, PROJECTS!E:E = A105), 2, TRUE),
  ,
  1
)"),"MBE24002")</f>
        <v>MBE24002</v>
      </c>
      <c r="C97" s="13" t="str">
        <f ca="1">IFERROR(__xludf.UNSUPPORTED("INDEX(
  SORT(FILTER({PROJECTS!C:C, PROJECTS!D:D}, PROJECTS!E:E = A105), 2, TRUE),
  ,
  1
)"),"Richmond WWTP Sludge Thickner")</f>
        <v>Richmond WWTP Sludge Thickner</v>
      </c>
      <c r="D97" s="23"/>
      <c r="E97" s="23"/>
      <c r="F97" s="23" t="s">
        <v>56</v>
      </c>
      <c r="G97" s="23"/>
      <c r="H97" s="23"/>
      <c r="I97" s="23"/>
      <c r="J97" s="24"/>
      <c r="K97" s="24"/>
      <c r="L97" s="24"/>
      <c r="M97" s="24"/>
      <c r="N97" s="25"/>
      <c r="O97" s="25"/>
      <c r="P97" s="25"/>
      <c r="Q97" s="25"/>
      <c r="R97" s="26"/>
      <c r="S97" s="26"/>
      <c r="T97" s="26"/>
      <c r="U97" s="26"/>
    </row>
    <row r="98" spans="1:27" ht="12.75">
      <c r="A98" s="38" t="s">
        <v>62</v>
      </c>
      <c r="B98" s="13" t="str">
        <f ca="1">IFERROR(__xludf.UNSUPPORTED("""COMPUTED_VALUE"""),"VEG25003")</f>
        <v>VEG25003</v>
      </c>
      <c r="C98" s="13" t="str">
        <f ca="1">IFERROR(__xludf.UNSUPPORTED("""COMPUTED_VALUE"""),"Country Place PFAS Treatment - lake Wood Water Disrtict")</f>
        <v>Country Place PFAS Treatment - lake Wood Water Disrtict</v>
      </c>
      <c r="D98" s="23"/>
      <c r="E98" s="23"/>
      <c r="F98" s="23"/>
      <c r="G98" s="23"/>
      <c r="H98" s="23">
        <v>12</v>
      </c>
      <c r="I98" s="23"/>
      <c r="J98" s="24"/>
      <c r="K98" s="24"/>
      <c r="L98" s="24"/>
      <c r="M98" s="24"/>
      <c r="N98" s="25"/>
      <c r="O98" s="25"/>
      <c r="P98" s="25"/>
      <c r="Q98" s="25"/>
      <c r="R98" s="26"/>
      <c r="S98" s="26"/>
      <c r="T98" s="26"/>
      <c r="U98" s="26"/>
    </row>
    <row r="99" spans="1:27" ht="12.75">
      <c r="A99" s="38" t="s">
        <v>62</v>
      </c>
      <c r="B99" s="13" t="str">
        <f ca="1">IFERROR(__xludf.UNSUPPORTED("""COMPUTED_VALUE"""),"BDE25003")</f>
        <v>BDE25003</v>
      </c>
      <c r="C99" s="13" t="str">
        <f ca="1">IFERROR(__xludf.UNSUPPORTED("""COMPUTED_VALUE"""),"Grayson College - Residence Hall")</f>
        <v>Grayson College - Residence Hall</v>
      </c>
      <c r="D99" s="23"/>
      <c r="E99" s="23"/>
      <c r="F99" s="23"/>
      <c r="G99" s="23"/>
      <c r="H99" s="23"/>
      <c r="I99" s="23"/>
      <c r="J99" s="24"/>
      <c r="K99" s="24"/>
      <c r="L99" s="24"/>
      <c r="M99" s="24"/>
      <c r="N99" s="25"/>
      <c r="O99" s="25"/>
      <c r="P99" s="25"/>
      <c r="Q99" s="25"/>
      <c r="R99" s="26"/>
      <c r="S99" s="26"/>
      <c r="T99" s="26"/>
      <c r="U99" s="26"/>
    </row>
    <row r="100" spans="1:27" ht="12.75">
      <c r="A100" s="38" t="s">
        <v>62</v>
      </c>
      <c r="B100" s="13" t="str">
        <f ca="1">IFERROR(__xludf.UNSUPPORTED("""COMPUTED_VALUE"""),"SMEP25001")</f>
        <v>SMEP25001</v>
      </c>
      <c r="C100" s="13" t="str">
        <f ca="1">IFERROR(__xludf.UNSUPPORTED("""COMPUTED_VALUE"""),"Haley Canopy ZEV Infrastructure Improvements Power system Studies")</f>
        <v>Haley Canopy ZEV Infrastructure Improvements Power system Studies</v>
      </c>
      <c r="D100" s="23">
        <v>40</v>
      </c>
      <c r="E100" s="23"/>
      <c r="F100" s="23"/>
      <c r="G100" s="23"/>
      <c r="H100" s="23"/>
      <c r="I100" s="23">
        <v>40</v>
      </c>
      <c r="J100" s="24"/>
      <c r="K100" s="24"/>
      <c r="L100" s="24"/>
      <c r="M100" s="24"/>
      <c r="N100" s="25">
        <v>40</v>
      </c>
      <c r="O100" s="25"/>
      <c r="P100" s="25"/>
      <c r="Q100" s="25"/>
      <c r="R100" s="26"/>
      <c r="S100" s="26">
        <v>40</v>
      </c>
      <c r="T100" s="26"/>
      <c r="U100" s="26"/>
      <c r="X100">
        <v>40</v>
      </c>
    </row>
    <row r="101" spans="1:27" ht="12.75">
      <c r="A101" s="38" t="s">
        <v>62</v>
      </c>
      <c r="B101" s="13" t="str">
        <f ca="1">IFERROR(__xludf.UNSUPPORTED("""COMPUTED_VALUE"""),"FEI25005")</f>
        <v>FEI25005</v>
      </c>
      <c r="C101" s="13" t="str">
        <f ca="1">IFERROR(__xludf.UNSUPPORTED("""COMPUTED_VALUE"""),"Folsom Heights Development Water Booster Pump Station")</f>
        <v>Folsom Heights Development Water Booster Pump Station</v>
      </c>
      <c r="D101" s="23" t="s">
        <v>56</v>
      </c>
      <c r="E101" s="23"/>
      <c r="F101" s="23"/>
      <c r="G101" s="23"/>
      <c r="H101" s="23"/>
      <c r="I101" s="23" t="s">
        <v>56</v>
      </c>
      <c r="J101" s="24"/>
      <c r="K101" s="24"/>
      <c r="L101" s="24"/>
      <c r="M101" s="24"/>
      <c r="N101" s="25" t="s">
        <v>56</v>
      </c>
      <c r="O101" s="25"/>
      <c r="P101" s="25"/>
      <c r="Q101" s="25"/>
      <c r="R101" s="26"/>
      <c r="S101" s="26" t="s">
        <v>56</v>
      </c>
      <c r="T101" s="26"/>
      <c r="U101" s="26"/>
      <c r="X101" t="s">
        <v>56</v>
      </c>
    </row>
    <row r="102" spans="1:27" ht="12.75">
      <c r="A102" s="38" t="s">
        <v>62</v>
      </c>
      <c r="B102" s="13" t="str">
        <f ca="1">IFERROR(__xludf.UNSUPPORTED("""COMPUTED_VALUE"""),"DE25002")</f>
        <v>DE25002</v>
      </c>
      <c r="C102" s="13" t="str">
        <f ca="1">IFERROR(__xludf.UNSUPPORTED("""COMPUTED_VALUE"""),"Well 4 Electrical Improvements - City of Auburn ")</f>
        <v xml:space="preserve">Well 4 Electrical Improvements - City of Auburn </v>
      </c>
      <c r="D102" s="23"/>
      <c r="E102" s="23">
        <v>5</v>
      </c>
      <c r="F102" s="23"/>
      <c r="G102" s="23"/>
      <c r="H102" s="23"/>
      <c r="I102" s="23"/>
      <c r="J102" s="24">
        <v>5</v>
      </c>
      <c r="K102" s="24"/>
      <c r="L102" s="24"/>
      <c r="M102" s="24"/>
      <c r="N102" s="25"/>
      <c r="O102" s="25">
        <v>5</v>
      </c>
      <c r="P102" s="25"/>
      <c r="Q102" s="25"/>
      <c r="R102" s="26"/>
      <c r="S102" s="26"/>
      <c r="T102" s="26">
        <v>5</v>
      </c>
      <c r="U102" s="26"/>
      <c r="Y102">
        <v>5</v>
      </c>
    </row>
    <row r="103" spans="1:27" ht="12.75">
      <c r="A103" s="38" t="s">
        <v>62</v>
      </c>
      <c r="B103" s="13" t="str">
        <f ca="1">IFERROR(__xludf.UNSUPPORTED("""COMPUTED_VALUE"""),"CEC25002")</f>
        <v>CEC25002</v>
      </c>
      <c r="C103" s="13" t="str">
        <f ca="1">IFERROR(__xludf.UNSUPPORTED("""COMPUTED_VALUE"""),"Zone 3 Booster Pump Improvements - City of Cle Elum")</f>
        <v>Zone 3 Booster Pump Improvements - City of Cle Elum</v>
      </c>
      <c r="D103" s="23"/>
      <c r="E103" s="23">
        <v>35</v>
      </c>
      <c r="F103" s="23">
        <v>19</v>
      </c>
      <c r="G103" s="23"/>
      <c r="H103" s="23"/>
      <c r="I103" s="23"/>
      <c r="J103" s="24">
        <v>35</v>
      </c>
      <c r="K103" s="24">
        <v>19</v>
      </c>
      <c r="L103" s="24"/>
      <c r="M103" s="24"/>
      <c r="N103" s="25"/>
      <c r="O103" s="25">
        <v>35</v>
      </c>
      <c r="P103" s="25">
        <v>19</v>
      </c>
      <c r="Q103" s="25"/>
      <c r="R103" s="26"/>
      <c r="S103" s="26"/>
      <c r="T103" s="26">
        <v>35</v>
      </c>
      <c r="U103" s="26">
        <v>19</v>
      </c>
      <c r="Y103">
        <v>35</v>
      </c>
      <c r="Z103">
        <v>19</v>
      </c>
    </row>
    <row r="104" spans="1:27" ht="12.75">
      <c r="A104" s="38" t="s">
        <v>62</v>
      </c>
      <c r="B104" s="13" t="str">
        <f ca="1">IFERROR(__xludf.UNSUPPORTED("""COMPUTED_VALUE"""),"CSEC26002")</f>
        <v>CSEC26002</v>
      </c>
      <c r="C104" s="13" t="str">
        <f ca="1">IFERROR(__xludf.UNSUPPORTED("""COMPUTED_VALUE"""),"Heatherwood &amp; Heather Gardens PS Rehabilitation")</f>
        <v>Heatherwood &amp; Heather Gardens PS Rehabilitation</v>
      </c>
      <c r="D104" s="23"/>
      <c r="E104" s="23"/>
      <c r="F104" s="23"/>
      <c r="G104" s="23"/>
      <c r="H104" s="23"/>
      <c r="I104" s="23"/>
      <c r="J104" s="24"/>
      <c r="K104" s="24"/>
      <c r="L104" s="24"/>
      <c r="M104" s="24"/>
      <c r="N104" s="25"/>
      <c r="O104" s="25"/>
      <c r="P104" s="25"/>
      <c r="Q104" s="25"/>
      <c r="R104" s="26"/>
      <c r="S104" s="26"/>
      <c r="T104" s="26"/>
      <c r="U104" s="26"/>
    </row>
    <row r="105" spans="1:27" ht="12.75">
      <c r="A105" s="38" t="s">
        <v>62</v>
      </c>
      <c r="B105" s="13" t="str">
        <f ca="1">IFERROR(__xludf.UNSUPPORTED("""COMPUTED_VALUE"""),"CVE26001")</f>
        <v>CVE26001</v>
      </c>
      <c r="C105" s="13" t="str">
        <f ca="1">IFERROR(__xludf.UNSUPPORTED("""COMPUTED_VALUE"""),"Supplemental Well No 3 Improvements - Watsonville")</f>
        <v>Supplemental Well No 3 Improvements - Watsonville</v>
      </c>
      <c r="D105" s="23"/>
      <c r="E105" s="23"/>
      <c r="F105" s="23">
        <v>21</v>
      </c>
      <c r="G105" s="23">
        <v>19</v>
      </c>
      <c r="H105" s="23"/>
      <c r="I105" s="23"/>
      <c r="J105" s="24"/>
      <c r="K105" s="24">
        <v>21</v>
      </c>
      <c r="L105" s="24">
        <v>19</v>
      </c>
      <c r="M105" s="24"/>
      <c r="N105" s="25"/>
      <c r="O105" s="25"/>
      <c r="P105" s="25">
        <v>21</v>
      </c>
      <c r="Q105" s="25">
        <v>19</v>
      </c>
      <c r="R105" s="26"/>
      <c r="S105" s="26"/>
      <c r="T105" s="26"/>
      <c r="U105" s="26">
        <v>21</v>
      </c>
      <c r="V105">
        <v>19</v>
      </c>
      <c r="Z105">
        <v>21</v>
      </c>
      <c r="AA105">
        <v>19</v>
      </c>
    </row>
    <row r="106" spans="1:27" ht="12.75">
      <c r="A106" s="38" t="s">
        <v>62</v>
      </c>
      <c r="B106" s="13" t="str">
        <f ca="1">IFERROR(__xludf.UNSUPPORTED("""COMPUTED_VALUE"""),"CDI26002")</f>
        <v>CDI26002</v>
      </c>
      <c r="C106" s="13" t="str">
        <f ca="1">IFERROR(__xludf.UNSUPPORTED("""COMPUTED_VALUE"""),"Canadian Solar Dallas ")</f>
        <v xml:space="preserve">Canadian Solar Dallas </v>
      </c>
      <c r="D106" s="23"/>
      <c r="E106" s="23"/>
      <c r="F106" s="23"/>
      <c r="G106" s="23"/>
      <c r="H106" s="23"/>
      <c r="I106" s="23"/>
      <c r="J106" s="24"/>
      <c r="K106" s="24"/>
      <c r="L106" s="24"/>
      <c r="M106" s="24"/>
      <c r="N106" s="25"/>
      <c r="O106" s="25"/>
      <c r="P106" s="25"/>
      <c r="Q106" s="25"/>
      <c r="R106" s="26"/>
      <c r="S106" s="26"/>
      <c r="T106" s="26"/>
      <c r="U106" s="26"/>
    </row>
    <row r="107" spans="1:27" ht="12.75">
      <c r="A107" s="38" t="s">
        <v>62</v>
      </c>
      <c r="B107" s="13" t="str">
        <f ca="1">IFERROR(__xludf.UNSUPPORTED("""COMPUTED_VALUE"""),"SIS26001")</f>
        <v>SIS26001</v>
      </c>
      <c r="C107" s="13" t="str">
        <f ca="1">IFERROR(__xludf.UNSUPPORTED("""COMPUTED_VALUE"""),"Project LAYLA")</f>
        <v>Project LAYLA</v>
      </c>
      <c r="D107" s="23"/>
      <c r="E107" s="23"/>
      <c r="F107" s="23"/>
      <c r="G107" s="23"/>
      <c r="H107" s="23"/>
      <c r="I107" s="23"/>
      <c r="J107" s="24"/>
      <c r="K107" s="24"/>
      <c r="L107" s="24"/>
      <c r="M107" s="24"/>
      <c r="N107" s="25"/>
      <c r="O107" s="25"/>
      <c r="P107" s="25"/>
      <c r="Q107" s="25"/>
      <c r="R107" s="26"/>
      <c r="S107" s="26"/>
      <c r="T107" s="26"/>
      <c r="U107" s="26"/>
    </row>
    <row r="108" spans="1:27" ht="12.75">
      <c r="A108" s="38" t="s">
        <v>62</v>
      </c>
      <c r="B108" s="13" t="str">
        <f ca="1">IFERROR(__xludf.UNSUPPORTED("""COMPUTED_VALUE"""),"VEG25003.1")</f>
        <v>VEG25003.1</v>
      </c>
      <c r="C108" s="13" t="str">
        <f ca="1">IFERROR(__xludf.UNSUPPORTED("""COMPUTED_VALUE"""),"Country Place PFAS Treatment Project CO#1 - Lakewood Water District")</f>
        <v>Country Place PFAS Treatment Project CO#1 - Lakewood Water District</v>
      </c>
      <c r="D108" s="23"/>
      <c r="E108" s="23"/>
      <c r="F108" s="23"/>
      <c r="G108" s="23">
        <v>19</v>
      </c>
      <c r="H108" s="23"/>
      <c r="I108" s="23"/>
      <c r="J108" s="24"/>
      <c r="K108" s="24"/>
      <c r="L108" s="24">
        <v>19</v>
      </c>
      <c r="M108" s="24"/>
      <c r="N108" s="25"/>
      <c r="O108" s="25"/>
      <c r="P108" s="25"/>
      <c r="Q108" s="25">
        <v>19</v>
      </c>
      <c r="R108" s="26"/>
      <c r="S108" s="26"/>
      <c r="T108" s="26"/>
      <c r="U108" s="26"/>
      <c r="V108">
        <v>19</v>
      </c>
      <c r="AA108">
        <v>19</v>
      </c>
    </row>
    <row r="109" spans="1:27" ht="12.75">
      <c r="A109" s="40"/>
      <c r="B109" s="13"/>
      <c r="C109" s="13"/>
      <c r="D109" s="23"/>
    </row>
    <row r="111" spans="1:27" ht="12.75">
      <c r="D111" s="3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</row>
    <row r="112" spans="1:27" ht="12.75">
      <c r="D112" s="32"/>
      <c r="E112" s="23"/>
      <c r="F112" s="23"/>
      <c r="G112" s="23"/>
      <c r="H112" s="23"/>
      <c r="I112" s="23"/>
      <c r="J112" s="24"/>
      <c r="K112" s="24"/>
      <c r="L112" s="24"/>
      <c r="M112" s="24"/>
      <c r="N112" s="25"/>
      <c r="O112" s="25"/>
      <c r="P112" s="25"/>
      <c r="Q112" s="25"/>
      <c r="R112" s="26"/>
      <c r="S112" s="26"/>
      <c r="T112" s="26"/>
      <c r="U112" s="26"/>
    </row>
    <row r="113" spans="1:27" ht="12.75">
      <c r="A113" s="38" t="s">
        <v>63</v>
      </c>
      <c r="B113" s="13" t="str">
        <f ca="1">IFERROR(__xludf.UNSUPPORTED("INDEX(
  SORT(FILTER({PROJECTS!A:A, PROJECTS!D:D}, PROJECTS!E:E = A122), 2, TRUE),
  ,
  1
)"),"BES25003")</f>
        <v>BES25003</v>
      </c>
      <c r="C113" s="13" t="str">
        <f ca="1">IFERROR(__xludf.UNSUPPORTED("INDEX(
  SORT(FILTER({PROJECTS!C:C, PROJECTS!D:D}, PROJECTS!E:E = A122), 2, TRUE),
  ,
  1
)"),"City of Lacey - Lift Station 23 Improvements")</f>
        <v>City of Lacey - Lift Station 23 Improvements</v>
      </c>
      <c r="D113" s="23"/>
      <c r="E113" s="23"/>
      <c r="F113" s="23" t="s">
        <v>56</v>
      </c>
      <c r="G113" s="23"/>
      <c r="H113" s="23"/>
      <c r="I113" s="23"/>
      <c r="J113" s="24"/>
      <c r="K113" s="24"/>
      <c r="L113" s="24"/>
      <c r="M113" s="24"/>
      <c r="N113" s="25"/>
      <c r="O113" s="25"/>
      <c r="P113" s="25"/>
      <c r="Q113" s="25"/>
      <c r="R113" s="26"/>
      <c r="S113" s="26"/>
      <c r="T113" s="26"/>
      <c r="U113" s="26"/>
    </row>
    <row r="114" spans="1:27" ht="12.75">
      <c r="A114" s="38" t="s">
        <v>63</v>
      </c>
      <c r="B114" s="13" t="str">
        <f ca="1">IFERROR(__xludf.UNSUPPORTED("""COMPUTED_VALUE"""),"NC25004")</f>
        <v>NC25004</v>
      </c>
      <c r="C114" s="13" t="str">
        <f ca="1">IFERROR(__xludf.UNSUPPORTED("""COMPUTED_VALUE"""),"Umatilla Oregon - Power City and Brownell Water &amp; Sewer")</f>
        <v>Umatilla Oregon - Power City and Brownell Water &amp; Sewer</v>
      </c>
      <c r="D114" s="23"/>
      <c r="E114" s="23"/>
      <c r="F114" s="23" t="s">
        <v>56</v>
      </c>
      <c r="G114" s="23"/>
      <c r="H114" s="23"/>
      <c r="I114" s="23"/>
      <c r="J114" s="24"/>
      <c r="K114" s="24"/>
      <c r="L114" s="24"/>
      <c r="M114" s="24"/>
      <c r="N114" s="25"/>
      <c r="O114" s="25"/>
      <c r="P114" s="25"/>
      <c r="Q114" s="25"/>
      <c r="R114" s="26"/>
      <c r="S114" s="26"/>
      <c r="T114" s="26"/>
      <c r="U114" s="26"/>
    </row>
    <row r="115" spans="1:27" ht="12.75">
      <c r="A115" s="38" t="s">
        <v>63</v>
      </c>
      <c r="B115" s="13" t="str">
        <f ca="1">IFERROR(__xludf.UNSUPPORTED("""COMPUTED_VALUE"""),"BES25004")</f>
        <v>BES25004</v>
      </c>
      <c r="C115" s="13" t="str">
        <f ca="1">IFERROR(__xludf.UNSUPPORTED("""COMPUTED_VALUE"""),"Steilacoom - Dock Lift Station and Parking Lot Improvement")</f>
        <v>Steilacoom - Dock Lift Station and Parking Lot Improvement</v>
      </c>
      <c r="D115" s="23"/>
      <c r="E115" s="23"/>
      <c r="F115" s="23" t="s">
        <v>56</v>
      </c>
      <c r="G115" s="23"/>
      <c r="H115" s="23"/>
      <c r="I115" s="23"/>
      <c r="J115" s="24"/>
      <c r="K115" s="24"/>
      <c r="L115" s="24"/>
      <c r="M115" s="24"/>
      <c r="N115" s="25"/>
      <c r="O115" s="25"/>
      <c r="P115" s="25"/>
      <c r="Q115" s="25"/>
      <c r="R115" s="26"/>
      <c r="S115" s="26"/>
      <c r="T115" s="26"/>
      <c r="U115" s="26"/>
    </row>
    <row r="116" spans="1:27" ht="12.75">
      <c r="A116" s="38" t="s">
        <v>63</v>
      </c>
      <c r="B116" s="13" t="str">
        <f ca="1">IFERROR(__xludf.UNSUPPORTED("""COMPUTED_VALUE"""),"SECO26002")</f>
        <v>SECO26002</v>
      </c>
      <c r="C116" s="13" t="str">
        <f ca="1">IFERROR(__xludf.UNSUPPORTED("""COMPUTED_VALUE"""),"Combined Sewer Overflow PS - City of Anacortes")</f>
        <v>Combined Sewer Overflow PS - City of Anacortes</v>
      </c>
      <c r="D116" s="23"/>
      <c r="E116" s="23"/>
      <c r="F116" s="23" t="s">
        <v>56</v>
      </c>
      <c r="G116" s="23"/>
      <c r="H116" s="23"/>
      <c r="I116" s="23"/>
      <c r="J116" s="24"/>
      <c r="K116" s="24"/>
      <c r="L116" s="24"/>
      <c r="M116" s="24"/>
      <c r="N116" s="25"/>
      <c r="O116" s="25"/>
      <c r="P116" s="25"/>
      <c r="Q116" s="25"/>
      <c r="R116" s="26"/>
      <c r="S116" s="26"/>
      <c r="T116" s="26"/>
      <c r="U116" s="26"/>
    </row>
    <row r="117" spans="1:27" ht="12.75">
      <c r="A117" s="38" t="s">
        <v>63</v>
      </c>
      <c r="B117" s="13" t="str">
        <f ca="1">IFERROR(__xludf.UNSUPPORTED("""COMPUTED_VALUE"""),"APB26002")</f>
        <v>APB26002</v>
      </c>
      <c r="C117" s="13" t="str">
        <f ca="1">IFERROR(__xludf.UNSUPPORTED("""COMPUTED_VALUE"""),"Sudden Valley Lift Station 22")</f>
        <v>Sudden Valley Lift Station 22</v>
      </c>
      <c r="D117" s="23">
        <v>40</v>
      </c>
      <c r="E117" s="23"/>
      <c r="F117" s="23"/>
      <c r="G117" s="23"/>
      <c r="H117" s="23"/>
      <c r="I117" s="23">
        <v>40</v>
      </c>
      <c r="J117" s="24"/>
      <c r="K117" s="24"/>
      <c r="L117" s="24"/>
      <c r="M117" s="24"/>
      <c r="N117" s="25">
        <v>40</v>
      </c>
      <c r="O117" s="25"/>
      <c r="P117" s="25"/>
      <c r="Q117" s="25"/>
      <c r="R117" s="26"/>
      <c r="S117" s="26">
        <v>40</v>
      </c>
      <c r="T117" s="26"/>
      <c r="U117" s="26"/>
      <c r="X117">
        <v>40</v>
      </c>
    </row>
    <row r="118" spans="1:27" ht="12.75">
      <c r="A118" s="38" t="s">
        <v>63</v>
      </c>
      <c r="B118" s="13" t="str">
        <f ca="1">IFERROR(__xludf.UNSUPPORTED("""COMPUTED_VALUE"""),"CEDTC26001")</f>
        <v>CEDTC26001</v>
      </c>
      <c r="C118" s="13" t="str">
        <f ca="1">IFERROR(__xludf.UNSUPPORTED("""COMPUTED_VALUE"""),"Umatila Police Station")</f>
        <v>Umatila Police Station</v>
      </c>
      <c r="D118" s="23" t="s">
        <v>56</v>
      </c>
      <c r="E118" s="23"/>
      <c r="F118" s="23"/>
      <c r="G118" s="23"/>
      <c r="H118" s="23"/>
      <c r="I118" s="23" t="s">
        <v>56</v>
      </c>
      <c r="J118" s="24"/>
      <c r="K118" s="24"/>
      <c r="L118" s="24"/>
      <c r="M118" s="24"/>
      <c r="N118" s="25" t="s">
        <v>56</v>
      </c>
      <c r="O118" s="25"/>
      <c r="P118" s="25"/>
      <c r="Q118" s="25"/>
      <c r="R118" s="26"/>
      <c r="S118" s="26" t="s">
        <v>56</v>
      </c>
      <c r="T118" s="26"/>
      <c r="U118" s="26"/>
      <c r="X118" t="s">
        <v>56</v>
      </c>
    </row>
    <row r="119" spans="1:27" ht="12.75">
      <c r="A119" s="38" t="s">
        <v>63</v>
      </c>
      <c r="B119" s="13" t="str">
        <f ca="1">IFERROR(__xludf.UNSUPPORTED("""COMPUTED_VALUE"""),"CLE26001")</f>
        <v>CLE26001</v>
      </c>
      <c r="C119" s="13" t="str">
        <f ca="1">IFERROR(__xludf.UNSUPPORTED("""COMPUTED_VALUE"""),"Battery Electric Bus Charging Infrastructure Phase 1 - El Monte Station (Div. 9)")</f>
        <v>Battery Electric Bus Charging Infrastructure Phase 1 - El Monte Station (Div. 9)</v>
      </c>
      <c r="D119" s="23"/>
      <c r="E119" s="23">
        <v>5</v>
      </c>
      <c r="F119" s="23"/>
      <c r="G119" s="23"/>
      <c r="H119" s="23"/>
      <c r="I119" s="23"/>
      <c r="J119" s="24">
        <v>5</v>
      </c>
      <c r="K119" s="24"/>
      <c r="L119" s="24"/>
      <c r="M119" s="24"/>
      <c r="N119" s="25"/>
      <c r="O119" s="25">
        <v>5</v>
      </c>
      <c r="P119" s="25"/>
      <c r="Q119" s="25"/>
      <c r="R119" s="26"/>
      <c r="S119" s="26"/>
      <c r="T119" s="26">
        <v>5</v>
      </c>
      <c r="U119" s="26"/>
      <c r="Y119">
        <v>5</v>
      </c>
    </row>
    <row r="120" spans="1:27" ht="12.75">
      <c r="A120" s="38" t="s">
        <v>63</v>
      </c>
      <c r="B120" s="13" t="str">
        <f ca="1">IFERROR(__xludf.UNSUPPORTED("""COMPUTED_VALUE"""),"CEDTC26002")</f>
        <v>CEDTC26002</v>
      </c>
      <c r="C120" s="13" t="str">
        <f ca="1">IFERROR(__xludf.UNSUPPORTED("""COMPUTED_VALUE"""),"Multicare Endoscopy Center - Yakima")</f>
        <v>Multicare Endoscopy Center - Yakima</v>
      </c>
      <c r="D120" s="23"/>
      <c r="E120" s="23">
        <v>35</v>
      </c>
      <c r="F120" s="23">
        <v>19</v>
      </c>
      <c r="G120" s="23"/>
      <c r="H120" s="23"/>
      <c r="I120" s="23"/>
      <c r="J120" s="24">
        <v>35</v>
      </c>
      <c r="K120" s="24">
        <v>19</v>
      </c>
      <c r="L120" s="24"/>
      <c r="M120" s="24"/>
      <c r="N120" s="25"/>
      <c r="O120" s="25">
        <v>35</v>
      </c>
      <c r="P120" s="25">
        <v>19</v>
      </c>
      <c r="Q120" s="25"/>
      <c r="R120" s="26"/>
      <c r="S120" s="26"/>
      <c r="T120" s="26">
        <v>35</v>
      </c>
      <c r="U120" s="26">
        <v>19</v>
      </c>
      <c r="Y120">
        <v>35</v>
      </c>
      <c r="Z120">
        <v>19</v>
      </c>
    </row>
    <row r="121" spans="1:27" ht="12.75">
      <c r="A121" s="38" t="s">
        <v>63</v>
      </c>
      <c r="B121" s="13" t="str">
        <f ca="1">IFERROR(__xludf.UNSUPPORTED("""COMPUTED_VALUE"""),"SEC26005")</f>
        <v>SEC26005</v>
      </c>
      <c r="C121" s="13" t="str">
        <f ca="1">IFERROR(__xludf.UNSUPPORTED("""COMPUTED_VALUE"""),"Amazon Warehouse - ABQ1 OBD-A")</f>
        <v>Amazon Warehouse - ABQ1 OBD-A</v>
      </c>
      <c r="D121" s="23"/>
      <c r="E121" s="23"/>
      <c r="F121" s="23"/>
      <c r="G121" s="23"/>
      <c r="H121" s="23"/>
      <c r="I121" s="23"/>
      <c r="J121" s="24"/>
      <c r="K121" s="24"/>
      <c r="L121" s="24"/>
      <c r="M121" s="24"/>
      <c r="N121" s="25"/>
      <c r="O121" s="25"/>
      <c r="P121" s="25"/>
      <c r="Q121" s="25"/>
      <c r="R121" s="26"/>
      <c r="S121" s="26"/>
      <c r="T121" s="26"/>
      <c r="U121" s="26"/>
    </row>
    <row r="122" spans="1:27" ht="12.75">
      <c r="A122" s="38" t="s">
        <v>63</v>
      </c>
      <c r="B122" s="13" t="str">
        <f ca="1">IFERROR(__xludf.UNSUPPORTED("""COMPUTED_VALUE"""),"CJFE26002
")</f>
        <v xml:space="preserve">CJFE26002
</v>
      </c>
      <c r="C122" s="13" t="str">
        <f ca="1">IFERROR(__xludf.UNSUPPORTED("""COMPUTED_VALUE"""),"Arnold WWTF Phase I Improvements Project
")</f>
        <v xml:space="preserve">Arnold WWTF Phase I Improvements Project
</v>
      </c>
      <c r="D122" s="23"/>
      <c r="E122" s="23"/>
      <c r="F122" s="23">
        <v>21</v>
      </c>
      <c r="G122" s="23">
        <v>19</v>
      </c>
      <c r="H122" s="23"/>
      <c r="I122" s="23"/>
      <c r="J122" s="24"/>
      <c r="K122" s="24">
        <v>21</v>
      </c>
      <c r="L122" s="24">
        <v>19</v>
      </c>
      <c r="M122" s="24"/>
      <c r="N122" s="25"/>
      <c r="O122" s="25"/>
      <c r="P122" s="25">
        <v>21</v>
      </c>
      <c r="Q122" s="25">
        <v>19</v>
      </c>
      <c r="R122" s="26"/>
      <c r="S122" s="26"/>
      <c r="T122" s="26"/>
      <c r="U122" s="26">
        <v>21</v>
      </c>
      <c r="V122">
        <v>19</v>
      </c>
      <c r="Z122">
        <v>21</v>
      </c>
      <c r="AA122">
        <v>19</v>
      </c>
    </row>
    <row r="123" spans="1:27" ht="12.75">
      <c r="A123" s="38" t="s">
        <v>63</v>
      </c>
      <c r="B123" s="13" t="str">
        <f ca="1">IFERROR(__xludf.UNSUPPORTED("""COMPUTED_VALUE"""),"RPL26001
")</f>
        <v xml:space="preserve">RPL26001
</v>
      </c>
      <c r="C123" s="13" t="str">
        <f ca="1">IFERROR(__xludf.UNSUPPORTED("""COMPUTED_VALUE"""),"NMSU Computer Center
")</f>
        <v xml:space="preserve">NMSU Computer Center
</v>
      </c>
      <c r="D123" s="23"/>
      <c r="E123" s="23"/>
      <c r="F123" s="23"/>
      <c r="G123" s="23"/>
      <c r="H123" s="23"/>
      <c r="I123" s="23"/>
      <c r="J123" s="24"/>
      <c r="K123" s="24"/>
      <c r="L123" s="24"/>
      <c r="M123" s="24"/>
      <c r="N123" s="25"/>
      <c r="O123" s="25"/>
      <c r="P123" s="25"/>
      <c r="Q123" s="25"/>
      <c r="R123" s="26"/>
      <c r="S123" s="26"/>
      <c r="T123" s="26"/>
      <c r="U123" s="26"/>
    </row>
    <row r="124" spans="1:27" ht="12.75">
      <c r="A124" s="38" t="s">
        <v>63</v>
      </c>
      <c r="B124" s="13" t="str">
        <f ca="1">IFERROR(__xludf.UNSUPPORTED("""COMPUTED_VALUE"""),"CESC26006
")</f>
        <v xml:space="preserve">CESC26006
</v>
      </c>
      <c r="C124" s="13" t="str">
        <f ca="1">IFERROR(__xludf.UNSUPPORTED("""COMPUTED_VALUE"""),"Fujimi CMP2
")</f>
        <v xml:space="preserve">Fujimi CMP2
</v>
      </c>
      <c r="D124" s="23"/>
      <c r="E124" s="23"/>
      <c r="F124" s="23"/>
      <c r="G124" s="23"/>
      <c r="H124" s="23"/>
      <c r="I124" s="23"/>
      <c r="J124" s="24"/>
      <c r="K124" s="24"/>
      <c r="L124" s="24"/>
      <c r="M124" s="24"/>
      <c r="N124" s="25"/>
      <c r="O124" s="25"/>
      <c r="P124" s="25"/>
      <c r="Q124" s="25"/>
      <c r="R124" s="26"/>
      <c r="S124" s="26"/>
      <c r="T124" s="26"/>
      <c r="U124" s="26"/>
    </row>
    <row r="125" spans="1:27" ht="12.75">
      <c r="A125" s="38" t="s">
        <v>63</v>
      </c>
      <c r="B125" s="13" t="str">
        <f ca="1">IFERROR(__xludf.UNSUPPORTED("""COMPUTED_VALUE"""),"MBE26008
")</f>
        <v xml:space="preserve">MBE26008
</v>
      </c>
      <c r="C125" s="13" t="str">
        <f ca="1">IFERROR(__xludf.UNSUPPORTED("""COMPUTED_VALUE"""),"West Portal Elementary School Modernization Phase 2
")</f>
        <v xml:space="preserve">West Portal Elementary School Modernization Phase 2
</v>
      </c>
      <c r="D125" s="23"/>
      <c r="E125" s="23"/>
      <c r="F125" s="23"/>
      <c r="G125" s="23">
        <v>19</v>
      </c>
      <c r="H125" s="23"/>
      <c r="I125" s="23"/>
      <c r="J125" s="24"/>
      <c r="K125" s="24"/>
      <c r="L125" s="24">
        <v>19</v>
      </c>
      <c r="M125" s="24"/>
      <c r="N125" s="25"/>
      <c r="O125" s="25"/>
      <c r="P125" s="25"/>
      <c r="Q125" s="25">
        <v>19</v>
      </c>
      <c r="R125" s="26"/>
      <c r="S125" s="26"/>
      <c r="T125" s="26"/>
      <c r="U125" s="26"/>
      <c r="V125">
        <v>19</v>
      </c>
      <c r="AA125">
        <v>19</v>
      </c>
    </row>
    <row r="126" spans="1:27" ht="12.75">
      <c r="A126" s="38" t="s">
        <v>63</v>
      </c>
      <c r="B126" s="1" t="str">
        <f ca="1">IFERROR(__xludf.UNSUPPORTED("""COMPUTED_VALUE"""),"SEC26006
")</f>
        <v xml:space="preserve">SEC26006
</v>
      </c>
      <c r="C126" s="1" t="str">
        <f ca="1">IFERROR(__xludf.UNSUPPORTED("""COMPUTED_VALUE"""),"PSS DWS5 Phase 1E - Everett, WA
")</f>
        <v xml:space="preserve">PSS DWS5 Phase 1E - Everett, WA
</v>
      </c>
      <c r="D126" s="23"/>
      <c r="E126" s="23"/>
      <c r="F126" s="23"/>
      <c r="G126" s="23">
        <v>38</v>
      </c>
      <c r="H126" s="23"/>
      <c r="I126" s="23"/>
      <c r="J126" s="24"/>
      <c r="K126" s="24"/>
      <c r="L126" s="24">
        <v>38</v>
      </c>
      <c r="M126" s="24"/>
      <c r="N126" s="25"/>
      <c r="O126" s="25"/>
      <c r="P126" s="25"/>
      <c r="Q126" s="25">
        <v>38</v>
      </c>
      <c r="R126" s="26"/>
      <c r="S126" s="26"/>
      <c r="T126" s="26"/>
      <c r="U126" s="26"/>
      <c r="V126">
        <v>38</v>
      </c>
      <c r="AA126">
        <v>38</v>
      </c>
    </row>
    <row r="127" spans="1:27" ht="12.75">
      <c r="A127" s="38" t="s">
        <v>63</v>
      </c>
      <c r="B127" s="1" t="str">
        <f ca="1">IFERROR(__xludf.UNSUPPORTED("""COMPUTED_VALUE"""),"SM26001
")</f>
        <v xml:space="preserve">SM26001
</v>
      </c>
      <c r="C127" s="1" t="str">
        <f ca="1">IFERROR(__xludf.UNSUPPORTED("""COMPUTED_VALUE"""),"New Electrical Service at HESD Central Kitchen
")</f>
        <v xml:space="preserve">New Electrical Service at HESD Central Kitchen
</v>
      </c>
    </row>
    <row r="129" spans="1:27" ht="12.75">
      <c r="D129" s="32"/>
      <c r="E129" s="23"/>
      <c r="F129" s="23"/>
      <c r="G129" s="23"/>
      <c r="H129" s="23"/>
      <c r="I129" s="23"/>
      <c r="J129" s="24"/>
      <c r="K129" s="24"/>
      <c r="L129" s="24"/>
      <c r="M129" s="24"/>
      <c r="N129" s="25"/>
      <c r="O129" s="25"/>
      <c r="P129" s="25"/>
      <c r="Q129" s="25"/>
      <c r="R129" s="26"/>
      <c r="S129" s="26"/>
      <c r="T129" s="26"/>
      <c r="U129" s="26"/>
    </row>
    <row r="130" spans="1:27" ht="12.75">
      <c r="D130" s="32"/>
      <c r="E130" s="23"/>
      <c r="F130" s="23"/>
      <c r="G130" s="23"/>
      <c r="H130" s="23"/>
      <c r="I130" s="23"/>
      <c r="J130" s="24"/>
      <c r="K130" s="24"/>
      <c r="L130" s="24"/>
      <c r="M130" s="24"/>
      <c r="N130" s="25"/>
      <c r="O130" s="25"/>
      <c r="P130" s="25"/>
      <c r="Q130" s="25"/>
      <c r="R130" s="26"/>
      <c r="S130" s="26"/>
      <c r="T130" s="26"/>
      <c r="U130" s="26"/>
    </row>
    <row r="131" spans="1:27" ht="12.75">
      <c r="D131" s="32"/>
      <c r="E131" s="23"/>
      <c r="F131" s="23"/>
      <c r="G131" s="23"/>
      <c r="H131" s="23"/>
      <c r="I131" s="23"/>
      <c r="J131" s="24"/>
      <c r="K131" s="24"/>
      <c r="L131" s="24"/>
      <c r="M131" s="24"/>
      <c r="N131" s="25"/>
      <c r="O131" s="25"/>
      <c r="P131" s="25"/>
      <c r="Q131" s="25"/>
      <c r="R131" s="26"/>
      <c r="S131" s="26"/>
      <c r="T131" s="26"/>
      <c r="U131" s="26"/>
    </row>
    <row r="132" spans="1:27" ht="12.75">
      <c r="A132" s="38" t="s">
        <v>57</v>
      </c>
      <c r="B132" s="13" t="str">
        <f ca="1">IFERROR(__xludf.UNSUPPORTED("INDEX(
  SORT(FILTER({PROJECTS!A:A, PROJECTS!D:D}, PROJECTS!E:E = A141), 2, TRUE),
  ,
  1
)"),"AIOE26001")</f>
        <v>AIOE26001</v>
      </c>
      <c r="C132" s="13" t="str">
        <f ca="1">IFERROR(__xludf.UNSUPPORTED("INDEX(
  SORT(FILTER({PROJECTS!C:C, PROJECTS!D:D}, PROJECTS!E:E = A141), 2, TRUE),
  ,
  1
)"),"Telemark Recycled and Potable Water Booster Pump Station - SCVWA")</f>
        <v>Telemark Recycled and Potable Water Booster Pump Station - SCVWA</v>
      </c>
      <c r="D132" s="23"/>
      <c r="E132" s="23"/>
      <c r="F132" s="23" t="s">
        <v>56</v>
      </c>
      <c r="G132" s="23"/>
      <c r="H132" s="23"/>
      <c r="I132" s="23"/>
      <c r="J132" s="24"/>
      <c r="K132" s="24"/>
      <c r="L132" s="24"/>
      <c r="M132" s="24"/>
      <c r="N132" s="25"/>
      <c r="O132" s="25"/>
      <c r="P132" s="25"/>
      <c r="Q132" s="25"/>
      <c r="R132" s="26"/>
      <c r="S132" s="26"/>
      <c r="T132" s="26"/>
      <c r="U132" s="26"/>
    </row>
    <row r="133" spans="1:27" ht="12.75">
      <c r="A133" s="38" t="s">
        <v>57</v>
      </c>
      <c r="B133" s="13" t="str">
        <f ca="1">IFERROR(__xludf.UNSUPPORTED("""COMPUTED_VALUE"""),"MBE26006")</f>
        <v>MBE26006</v>
      </c>
      <c r="C133" s="13" t="str">
        <f ca="1">IFERROR(__xludf.UNSUPPORTED("""COMPUTED_VALUE""")," 2025 Treatment Plant Improvement - NAPA Sanitation District")</f>
        <v xml:space="preserve"> 2025 Treatment Plant Improvement - NAPA Sanitation District</v>
      </c>
      <c r="D133" s="23">
        <v>40</v>
      </c>
      <c r="E133" s="23"/>
      <c r="F133" s="23"/>
      <c r="G133" s="23"/>
      <c r="H133" s="23"/>
      <c r="I133" s="23">
        <v>40</v>
      </c>
      <c r="J133" s="24"/>
      <c r="K133" s="24"/>
      <c r="L133" s="24"/>
      <c r="M133" s="24"/>
      <c r="N133" s="25">
        <v>40</v>
      </c>
      <c r="O133" s="25"/>
      <c r="P133" s="25"/>
      <c r="Q133" s="25"/>
      <c r="R133" s="26"/>
      <c r="S133" s="26">
        <v>40</v>
      </c>
      <c r="T133" s="26"/>
      <c r="U133" s="26"/>
      <c r="X133">
        <v>40</v>
      </c>
    </row>
    <row r="134" spans="1:27" ht="12.75">
      <c r="A134" s="38" t="s">
        <v>57</v>
      </c>
      <c r="B134" s="13" t="str">
        <f ca="1">IFERROR(__xludf.UNSUPPORTED("""COMPUTED_VALUE"""),"DOE26001 ")</f>
        <v xml:space="preserve">DOE26001 </v>
      </c>
      <c r="C134" s="13" t="str">
        <f ca="1">IFERROR(__xludf.UNSUPPORTED("""COMPUTED_VALUE"""),"Murrieta Childrens Library Expansion Project")</f>
        <v>Murrieta Childrens Library Expansion Project</v>
      </c>
      <c r="D134" s="23" t="s">
        <v>56</v>
      </c>
      <c r="E134" s="23"/>
      <c r="F134" s="23"/>
      <c r="G134" s="23"/>
      <c r="H134" s="23"/>
      <c r="I134" s="23" t="s">
        <v>56</v>
      </c>
      <c r="J134" s="24"/>
      <c r="K134" s="24"/>
      <c r="L134" s="24"/>
      <c r="M134" s="24"/>
      <c r="N134" s="25" t="s">
        <v>56</v>
      </c>
      <c r="O134" s="25"/>
      <c r="P134" s="25"/>
      <c r="Q134" s="25"/>
      <c r="R134" s="26"/>
      <c r="S134" s="26" t="s">
        <v>56</v>
      </c>
      <c r="T134" s="26"/>
      <c r="U134" s="26"/>
      <c r="X134" t="s">
        <v>56</v>
      </c>
    </row>
    <row r="135" spans="1:27" ht="12.75">
      <c r="A135" s="38" t="s">
        <v>57</v>
      </c>
      <c r="B135" s="13" t="str">
        <f ca="1">IFERROR(__xludf.UNSUPPORTED("""COMPUTED_VALUE"""),"APB26003")</f>
        <v>APB26003</v>
      </c>
      <c r="C135" s="13" t="str">
        <f ca="1">IFERROR(__xludf.UNSUPPORTED("""COMPUTED_VALUE"""),"Oak Harbor Fire Station # 82")</f>
        <v>Oak Harbor Fire Station # 82</v>
      </c>
      <c r="D135" s="23"/>
      <c r="E135" s="23">
        <v>5</v>
      </c>
      <c r="F135" s="23"/>
      <c r="G135" s="23"/>
      <c r="H135" s="23"/>
      <c r="I135" s="23"/>
      <c r="J135" s="24">
        <v>5</v>
      </c>
      <c r="K135" s="24"/>
      <c r="L135" s="24"/>
      <c r="M135" s="24"/>
      <c r="N135" s="25"/>
      <c r="O135" s="25">
        <v>5</v>
      </c>
      <c r="P135" s="25"/>
      <c r="Q135" s="25"/>
      <c r="R135" s="26"/>
      <c r="S135" s="26"/>
      <c r="T135" s="26">
        <v>5</v>
      </c>
      <c r="U135" s="26"/>
      <c r="Y135">
        <v>5</v>
      </c>
    </row>
    <row r="136" spans="1:27" ht="12.75">
      <c r="A136" s="38" t="s">
        <v>57</v>
      </c>
      <c r="B136" s="13" t="str">
        <f ca="1">IFERROR(__xludf.UNSUPPORTED("""COMPUTED_VALUE"""),"HE26003")</f>
        <v>HE26003</v>
      </c>
      <c r="C136" s="13" t="str">
        <f ca="1">IFERROR(__xludf.UNSUPPORTED("""COMPUTED_VALUE"""),"Makr Furniture Project")</f>
        <v>Makr Furniture Project</v>
      </c>
      <c r="D136" s="23"/>
      <c r="E136" s="23">
        <v>35</v>
      </c>
      <c r="F136" s="23">
        <v>19</v>
      </c>
      <c r="G136" s="23"/>
      <c r="H136" s="23"/>
      <c r="I136" s="23"/>
      <c r="J136" s="24">
        <v>35</v>
      </c>
      <c r="K136" s="24">
        <v>19</v>
      </c>
      <c r="L136" s="24"/>
      <c r="M136" s="24"/>
      <c r="N136" s="25"/>
      <c r="O136" s="25">
        <v>35</v>
      </c>
      <c r="P136" s="25">
        <v>19</v>
      </c>
      <c r="Q136" s="25"/>
      <c r="R136" s="26"/>
      <c r="S136" s="26"/>
      <c r="T136" s="26">
        <v>35</v>
      </c>
      <c r="U136" s="26">
        <v>19</v>
      </c>
      <c r="Y136">
        <v>35</v>
      </c>
      <c r="Z136">
        <v>19</v>
      </c>
    </row>
    <row r="137" spans="1:27" ht="12.75">
      <c r="A137" s="38" t="s">
        <v>57</v>
      </c>
      <c r="B137" s="13" t="str">
        <f ca="1">IFERROR(__xludf.UNSUPPORTED("""COMPUTED_VALUE"""),"STE26001")</f>
        <v>STE26001</v>
      </c>
      <c r="C137" s="13" t="str">
        <f ca="1">IFERROR(__xludf.UNSUPPORTED("""COMPUTED_VALUE"""),"Entegris Project")</f>
        <v>Entegris Project</v>
      </c>
      <c r="D137" s="23"/>
      <c r="E137" s="23"/>
      <c r="F137" s="23"/>
      <c r="G137" s="23"/>
      <c r="H137" s="23"/>
      <c r="I137" s="23"/>
      <c r="J137" s="24"/>
      <c r="K137" s="24"/>
      <c r="L137" s="24"/>
      <c r="M137" s="24"/>
      <c r="N137" s="25"/>
      <c r="O137" s="25"/>
      <c r="P137" s="25"/>
      <c r="Q137" s="25"/>
      <c r="R137" s="26"/>
      <c r="S137" s="26"/>
      <c r="T137" s="26"/>
      <c r="U137" s="26"/>
    </row>
    <row r="138" spans="1:27" ht="12.75">
      <c r="A138" s="38" t="s">
        <v>57</v>
      </c>
      <c r="B138" s="13" t="str">
        <f ca="1">IFERROR(__xludf.UNSUPPORTED("""COMPUTED_VALUE"""),"GPS26007")</f>
        <v>GPS26007</v>
      </c>
      <c r="C138" s="13" t="str">
        <f ca="1">IFERROR(__xludf.UNSUPPORTED("""COMPUTED_VALUE"""),"Irvine Valley College - Arts Promenade and Coffee Structure")</f>
        <v>Irvine Valley College - Arts Promenade and Coffee Structure</v>
      </c>
      <c r="D138" s="23"/>
      <c r="E138" s="23"/>
      <c r="F138" s="23">
        <v>21</v>
      </c>
      <c r="G138" s="23">
        <v>19</v>
      </c>
      <c r="H138" s="23"/>
      <c r="I138" s="23"/>
      <c r="J138" s="24"/>
      <c r="K138" s="24">
        <v>21</v>
      </c>
      <c r="L138" s="24">
        <v>19</v>
      </c>
      <c r="M138" s="24"/>
      <c r="N138" s="25"/>
      <c r="O138" s="25"/>
      <c r="P138" s="25">
        <v>21</v>
      </c>
      <c r="Q138" s="25">
        <v>19</v>
      </c>
      <c r="R138" s="26"/>
      <c r="S138" s="26"/>
      <c r="T138" s="26"/>
      <c r="U138" s="26">
        <v>21</v>
      </c>
      <c r="V138">
        <v>19</v>
      </c>
      <c r="Z138">
        <v>21</v>
      </c>
      <c r="AA138">
        <v>19</v>
      </c>
    </row>
    <row r="139" spans="1:27" ht="12.75">
      <c r="A139" s="38" t="s">
        <v>57</v>
      </c>
      <c r="B139" s="13" t="str">
        <f ca="1">IFERROR(__xludf.UNSUPPORTED("""COMPUTED_VALUE"""),"SBE26007.1
")</f>
        <v xml:space="preserve">SBE26007.1
</v>
      </c>
      <c r="C139" s="13" t="str">
        <f ca="1">IFERROR(__xludf.UNSUPPORTED("""COMPUTED_VALUE"""),"UCD Segundo Dining Commons CO#1
")</f>
        <v xml:space="preserve">UCD Segundo Dining Commons CO#1
</v>
      </c>
      <c r="D139" s="23"/>
      <c r="E139" s="23"/>
      <c r="F139" s="23"/>
      <c r="G139" s="23"/>
      <c r="H139" s="23"/>
      <c r="I139" s="23"/>
      <c r="J139" s="24"/>
      <c r="K139" s="24"/>
      <c r="L139" s="24"/>
      <c r="M139" s="24"/>
      <c r="N139" s="25"/>
      <c r="O139" s="25"/>
      <c r="P139" s="25"/>
      <c r="Q139" s="25"/>
      <c r="R139" s="26"/>
      <c r="S139" s="26"/>
      <c r="T139" s="26"/>
      <c r="U139" s="26"/>
    </row>
    <row r="140" spans="1:27" ht="12.75">
      <c r="A140" s="38" t="s">
        <v>57</v>
      </c>
      <c r="B140" s="13" t="str">
        <f ca="1">IFERROR(__xludf.UNSUPPORTED("""COMPUTED_VALUE"""),"PRE26007
")</f>
        <v xml:space="preserve">PRE26007
</v>
      </c>
      <c r="C140" s="13" t="str">
        <f ca="1">IFERROR(__xludf.UNSUPPORTED("""COMPUTED_VALUE"""),"Maintenance Facilities - City of Issaquah
")</f>
        <v xml:space="preserve">Maintenance Facilities - City of Issaquah
</v>
      </c>
      <c r="D140" s="23"/>
      <c r="E140" s="23"/>
      <c r="F140" s="23"/>
      <c r="G140" s="23"/>
      <c r="H140" s="23"/>
      <c r="I140" s="23"/>
      <c r="J140" s="24"/>
      <c r="K140" s="24"/>
      <c r="L140" s="24"/>
      <c r="M140" s="24"/>
      <c r="N140" s="25"/>
      <c r="O140" s="25"/>
      <c r="P140" s="25"/>
      <c r="Q140" s="25"/>
      <c r="R140" s="26"/>
      <c r="S140" s="26"/>
      <c r="T140" s="26"/>
      <c r="U140" s="26"/>
    </row>
    <row r="141" spans="1:27" ht="12.75">
      <c r="A141" s="38" t="s">
        <v>57</v>
      </c>
      <c r="B141" s="13" t="str">
        <f ca="1">IFERROR(__xludf.UNSUPPORTED("""COMPUTED_VALUE"""),"SCCE26006
")</f>
        <v xml:space="preserve">SCCE26006
</v>
      </c>
      <c r="C141" s="13" t="str">
        <f ca="1">IFERROR(__xludf.UNSUPPORTED("""COMPUTED_VALUE"""),"John Muir ES New TKK - AUSD
")</f>
        <v xml:space="preserve">John Muir ES New TKK - AUSD
</v>
      </c>
      <c r="D141" s="23"/>
      <c r="E141" s="23"/>
      <c r="F141" s="23"/>
      <c r="G141" s="23">
        <v>19</v>
      </c>
      <c r="H141" s="23"/>
      <c r="I141" s="23"/>
      <c r="J141" s="24"/>
      <c r="K141" s="24"/>
      <c r="L141" s="24">
        <v>19</v>
      </c>
      <c r="M141" s="24"/>
      <c r="N141" s="25"/>
      <c r="O141" s="25"/>
      <c r="P141" s="25"/>
      <c r="Q141" s="25">
        <v>19</v>
      </c>
      <c r="R141" s="26"/>
      <c r="S141" s="26"/>
      <c r="T141" s="26"/>
      <c r="U141" s="26"/>
      <c r="V141">
        <v>19</v>
      </c>
      <c r="AA141">
        <v>19</v>
      </c>
    </row>
    <row r="142" spans="1:27" ht="12.75">
      <c r="A142" s="38" t="s">
        <v>57</v>
      </c>
      <c r="B142" s="13" t="str">
        <f ca="1">IFERROR(__xludf.UNSUPPORTED("""COMPUTED_VALUE"""),"BES26005
")</f>
        <v xml:space="preserve">BES26005
</v>
      </c>
      <c r="C142" s="13" t="str">
        <f ca="1">IFERROR(__xludf.UNSUPPORTED("""COMPUTED_VALUE"""),"Rainier HS Main Service Switchboard Replacement
")</f>
        <v xml:space="preserve">Rainier HS Main Service Switchboard Replacement
</v>
      </c>
      <c r="D142" s="23"/>
      <c r="E142" s="23"/>
      <c r="F142" s="23"/>
      <c r="G142" s="23">
        <v>38</v>
      </c>
      <c r="H142" s="23"/>
      <c r="I142" s="23"/>
      <c r="J142" s="24"/>
      <c r="K142" s="24"/>
      <c r="L142" s="24">
        <v>38</v>
      </c>
      <c r="M142" s="24"/>
      <c r="N142" s="25"/>
      <c r="O142" s="25"/>
      <c r="P142" s="25"/>
      <c r="Q142" s="25">
        <v>38</v>
      </c>
      <c r="R142" s="26"/>
      <c r="S142" s="26"/>
      <c r="T142" s="26"/>
      <c r="U142" s="26"/>
      <c r="V142">
        <v>38</v>
      </c>
      <c r="AA142">
        <v>38</v>
      </c>
    </row>
    <row r="143" spans="1:27" ht="12.75">
      <c r="A143" s="39"/>
      <c r="B143" s="13"/>
      <c r="C143" s="13"/>
      <c r="D143" s="23"/>
      <c r="E143" s="23"/>
      <c r="F143" s="23"/>
      <c r="G143" s="23"/>
      <c r="H143" s="23"/>
      <c r="I143" s="23"/>
      <c r="J143" s="24"/>
      <c r="K143" s="24"/>
      <c r="L143" s="24"/>
      <c r="M143" s="24"/>
      <c r="N143" s="25"/>
      <c r="O143" s="25"/>
      <c r="P143" s="25"/>
      <c r="Q143" s="25"/>
      <c r="R143" s="26"/>
      <c r="S143" s="26"/>
      <c r="T143" s="26"/>
      <c r="U143" s="26"/>
    </row>
    <row r="144" spans="1:27" ht="12.75">
      <c r="A144" s="40"/>
      <c r="B144" s="13"/>
      <c r="C144" s="13"/>
      <c r="D144" s="23"/>
    </row>
    <row r="147" spans="1:27" ht="12.75">
      <c r="D147" s="32"/>
      <c r="E147" s="23"/>
      <c r="F147" s="23"/>
      <c r="G147" s="23"/>
      <c r="H147" s="23"/>
      <c r="I147" s="23"/>
      <c r="J147" s="24"/>
      <c r="K147" s="24"/>
      <c r="L147" s="24"/>
      <c r="M147" s="24"/>
      <c r="N147" s="25"/>
      <c r="O147" s="25"/>
      <c r="P147" s="25"/>
      <c r="Q147" s="25"/>
      <c r="R147" s="26"/>
      <c r="S147" s="26"/>
      <c r="T147" s="26"/>
      <c r="U147" s="26"/>
    </row>
    <row r="148" spans="1:27" ht="12.75">
      <c r="D148" s="32"/>
      <c r="E148" s="23"/>
      <c r="F148" s="23"/>
      <c r="G148" s="23"/>
      <c r="H148" s="23"/>
      <c r="I148" s="23"/>
      <c r="J148" s="24"/>
      <c r="K148" s="24"/>
      <c r="L148" s="24"/>
      <c r="M148" s="24"/>
      <c r="N148" s="25"/>
      <c r="O148" s="25"/>
      <c r="P148" s="25"/>
      <c r="Q148" s="25"/>
      <c r="R148" s="26"/>
      <c r="S148" s="26"/>
      <c r="T148" s="26"/>
      <c r="U148" s="26"/>
    </row>
    <row r="149" spans="1:27" ht="12.75">
      <c r="D149" s="32"/>
      <c r="E149" s="23"/>
      <c r="F149" s="23"/>
      <c r="G149" s="23"/>
      <c r="H149" s="23"/>
      <c r="I149" s="23"/>
      <c r="J149" s="24"/>
      <c r="K149" s="24"/>
      <c r="L149" s="24"/>
      <c r="M149" s="24"/>
      <c r="N149" s="25"/>
      <c r="O149" s="25"/>
      <c r="P149" s="25"/>
      <c r="Q149" s="25"/>
      <c r="R149" s="26"/>
      <c r="S149" s="26"/>
      <c r="T149" s="26"/>
      <c r="U149" s="26"/>
    </row>
    <row r="150" spans="1:27" ht="12.75">
      <c r="A150" s="38" t="s">
        <v>64</v>
      </c>
      <c r="B150" s="13" t="str">
        <f ca="1">IFERROR(__xludf.UNSUPPORTED("INDEX(
  SORT(FILTER({PROJECTS!A:A, PROJECTS!D:D}, PROJECTS!E:E = A159), 2, TRUE),
  ,
  1
)"),"VEG25002")</f>
        <v>VEG25002</v>
      </c>
      <c r="C150" s="13" t="str">
        <f ca="1">IFERROR(__xludf.UNSUPPORTED("INDEX(
  SORT(FILTER({PROJECTS!C:C, PROJECTS!D:D}, PROJECTS!E:E = A159), 2, TRUE),
  ,
  1
)"),"City of Lacey - LS 3 Replacement")</f>
        <v>City of Lacey - LS 3 Replacement</v>
      </c>
      <c r="D150" s="23"/>
      <c r="E150" s="23"/>
      <c r="F150" s="23"/>
      <c r="G150" s="23"/>
      <c r="H150" s="23" t="s">
        <v>56</v>
      </c>
      <c r="I150" s="23"/>
      <c r="J150" s="24"/>
      <c r="K150" s="24"/>
      <c r="L150" s="24"/>
      <c r="M150" s="24"/>
      <c r="N150" s="25"/>
      <c r="O150" s="25"/>
      <c r="P150" s="25"/>
      <c r="Q150" s="25"/>
      <c r="R150" s="26"/>
      <c r="S150" s="26"/>
      <c r="T150" s="26"/>
      <c r="U150" s="26"/>
    </row>
    <row r="151" spans="1:27" ht="12.75">
      <c r="A151" s="38" t="s">
        <v>64</v>
      </c>
      <c r="B151" s="13" t="str">
        <f ca="1">IFERROR(__xludf.UNSUPPORTED("""COMPUTED_VALUE"""),"EPS25009")</f>
        <v>EPS25009</v>
      </c>
      <c r="C151" s="13" t="str">
        <f ca="1">IFERROR(__xludf.UNSUPPORTED("""COMPUTED_VALUE""")," City of Clovis Pump Station E AF Study")</f>
        <v xml:space="preserve"> City of Clovis Pump Station E AF Study</v>
      </c>
      <c r="D151" s="23"/>
      <c r="E151" s="23"/>
      <c r="F151" s="23"/>
      <c r="G151" s="23"/>
      <c r="H151" s="23" t="s">
        <v>56</v>
      </c>
      <c r="I151" s="23"/>
      <c r="J151" s="24"/>
      <c r="K151" s="24"/>
      <c r="L151" s="24"/>
      <c r="M151" s="24"/>
      <c r="N151" s="25"/>
      <c r="O151" s="25"/>
      <c r="P151" s="25"/>
      <c r="Q151" s="25"/>
      <c r="R151" s="26"/>
      <c r="S151" s="26"/>
      <c r="T151" s="26"/>
      <c r="U151" s="26"/>
    </row>
    <row r="152" spans="1:27" ht="12.75">
      <c r="A152" s="38" t="s">
        <v>64</v>
      </c>
      <c r="B152" s="13" t="str">
        <f ca="1">IFERROR(__xludf.UNSUPPORTED("""COMPUTED_VALUE"""),"CME26001")</f>
        <v>CME26001</v>
      </c>
      <c r="C152" s="13" t="str">
        <f ca="1">IFERROR(__xludf.UNSUPPORTED("""COMPUTED_VALUE"""),"Eagle and Magnolia Park Electrical Equipment Replacement")</f>
        <v>Eagle and Magnolia Park Electrical Equipment Replacement</v>
      </c>
      <c r="D152" s="23"/>
      <c r="E152" s="23"/>
      <c r="F152" s="23"/>
      <c r="G152" s="23"/>
      <c r="H152" s="23" t="s">
        <v>56</v>
      </c>
      <c r="I152" s="23"/>
      <c r="J152" s="24"/>
      <c r="K152" s="24"/>
      <c r="L152" s="24"/>
      <c r="M152" s="24"/>
      <c r="N152" s="25"/>
      <c r="O152" s="25"/>
      <c r="P152" s="25"/>
      <c r="Q152" s="25"/>
      <c r="R152" s="26"/>
      <c r="S152" s="26"/>
      <c r="T152" s="26"/>
      <c r="U152" s="26"/>
    </row>
    <row r="153" spans="1:27" ht="12.75">
      <c r="A153" s="38" t="s">
        <v>64</v>
      </c>
      <c r="B153" s="13" t="str">
        <f ca="1">IFERROR(__xludf.UNSUPPORTED("""COMPUTED_VALUE"""),"SEC26004")</f>
        <v>SEC26004</v>
      </c>
      <c r="C153" s="13" t="str">
        <f ca="1">IFERROR(__xludf.UNSUPPORTED("""COMPUTED_VALUE"""),"Optum Madison Center Project")</f>
        <v>Optum Madison Center Project</v>
      </c>
      <c r="D153" s="23"/>
      <c r="E153" s="23"/>
      <c r="F153" s="23"/>
      <c r="G153" s="23"/>
      <c r="H153" s="23" t="s">
        <v>56</v>
      </c>
      <c r="I153" s="23"/>
      <c r="J153" s="24"/>
      <c r="K153" s="24"/>
      <c r="L153" s="24"/>
      <c r="M153" s="24"/>
      <c r="N153" s="25"/>
      <c r="O153" s="25"/>
      <c r="P153" s="25"/>
      <c r="Q153" s="25"/>
      <c r="R153" s="26"/>
      <c r="S153" s="26"/>
      <c r="T153" s="26"/>
      <c r="U153" s="26"/>
    </row>
    <row r="154" spans="1:27" ht="12.75">
      <c r="A154" s="38" t="s">
        <v>64</v>
      </c>
      <c r="B154" s="13" t="str">
        <f ca="1">IFERROR(__xludf.UNSUPPORTED("""COMPUTED_VALUE"""),"MBE26007")</f>
        <v>MBE26007</v>
      </c>
      <c r="C154" s="13" t="str">
        <f ca="1">IFERROR(__xludf.UNSUPPORTED("""COMPUTED_VALUE"""),"Brookside Mental Health Rehab Richmond")</f>
        <v>Brookside Mental Health Rehab Richmond</v>
      </c>
      <c r="D154" s="23">
        <v>40</v>
      </c>
      <c r="E154" s="23"/>
      <c r="F154" s="23"/>
      <c r="G154" s="23"/>
      <c r="H154" s="23"/>
      <c r="I154" s="23">
        <v>40</v>
      </c>
      <c r="J154" s="24"/>
      <c r="K154" s="24"/>
      <c r="L154" s="24"/>
      <c r="M154" s="24"/>
      <c r="N154" s="25">
        <v>40</v>
      </c>
      <c r="O154" s="25"/>
      <c r="P154" s="25"/>
      <c r="Q154" s="25"/>
      <c r="R154" s="26"/>
      <c r="S154" s="26">
        <v>40</v>
      </c>
      <c r="T154" s="26"/>
      <c r="U154" s="26"/>
      <c r="X154">
        <v>40</v>
      </c>
    </row>
    <row r="155" spans="1:27" ht="12.75">
      <c r="A155" s="38" t="s">
        <v>64</v>
      </c>
      <c r="B155" s="13" t="str">
        <f ca="1">IFERROR(__xludf.UNSUPPORTED("""COMPUTED_VALUE"""),"APE26001")</f>
        <v>APE26001</v>
      </c>
      <c r="C155" s="13" t="str">
        <f ca="1">IFERROR(__xludf.UNSUPPORTED("""COMPUTED_VALUE"""),"High Island ISD Construction of New K-12th School &amp; Gym")</f>
        <v>High Island ISD Construction of New K-12th School &amp; Gym</v>
      </c>
      <c r="D155" s="23" t="s">
        <v>56</v>
      </c>
      <c r="E155" s="23"/>
      <c r="F155" s="23"/>
      <c r="G155" s="23"/>
      <c r="H155" s="23"/>
      <c r="I155" s="23" t="s">
        <v>56</v>
      </c>
      <c r="J155" s="24"/>
      <c r="K155" s="24"/>
      <c r="L155" s="24"/>
      <c r="M155" s="24"/>
      <c r="N155" s="25" t="s">
        <v>56</v>
      </c>
      <c r="O155" s="25"/>
      <c r="P155" s="25"/>
      <c r="Q155" s="25"/>
      <c r="R155" s="26"/>
      <c r="S155" s="26" t="s">
        <v>56</v>
      </c>
      <c r="T155" s="26"/>
      <c r="U155" s="26"/>
      <c r="X155" t="s">
        <v>56</v>
      </c>
    </row>
    <row r="156" spans="1:27" ht="12.75">
      <c r="A156" s="38" t="s">
        <v>64</v>
      </c>
      <c r="B156" s="13" t="str">
        <f ca="1">IFERROR(__xludf.UNSUPPORTED("""COMPUTED_VALUE"""),"NC26005")</f>
        <v>NC26005</v>
      </c>
      <c r="C156" s="13" t="str">
        <f ca="1">IFERROR(__xludf.UNSUPPORTED("""COMPUTED_VALUE"""),"LIGO - CEBEX Laboratory")</f>
        <v>LIGO - CEBEX Laboratory</v>
      </c>
      <c r="D156" s="23"/>
      <c r="E156" s="23">
        <v>5</v>
      </c>
      <c r="F156" s="23"/>
      <c r="G156" s="23"/>
      <c r="H156" s="23"/>
      <c r="I156" s="23"/>
      <c r="J156" s="24">
        <v>5</v>
      </c>
      <c r="K156" s="24"/>
      <c r="L156" s="24"/>
      <c r="M156" s="24"/>
      <c r="N156" s="25"/>
      <c r="O156" s="25">
        <v>5</v>
      </c>
      <c r="P156" s="25"/>
      <c r="Q156" s="25"/>
      <c r="R156" s="26"/>
      <c r="S156" s="26"/>
      <c r="T156" s="26">
        <v>5</v>
      </c>
      <c r="U156" s="26"/>
      <c r="Y156">
        <v>5</v>
      </c>
    </row>
    <row r="157" spans="1:27" ht="12.75">
      <c r="A157" s="38" t="s">
        <v>64</v>
      </c>
      <c r="B157" s="13" t="str">
        <f ca="1">IFERROR(__xludf.UNSUPPORTED("""COMPUTED_VALUE"""),"PRE26005")</f>
        <v>PRE26005</v>
      </c>
      <c r="C157" s="13" t="str">
        <f ca="1">IFERROR(__xludf.UNSUPPORTED("""COMPUTED_VALUE"""),"West Coast Grocery Co - IRGRA")</f>
        <v>West Coast Grocery Co - IRGRA</v>
      </c>
      <c r="D157" s="23"/>
      <c r="E157" s="23">
        <v>35</v>
      </c>
      <c r="F157" s="23">
        <v>19</v>
      </c>
      <c r="G157" s="23"/>
      <c r="H157" s="23"/>
      <c r="I157" s="23"/>
      <c r="J157" s="24">
        <v>35</v>
      </c>
      <c r="K157" s="24">
        <v>19</v>
      </c>
      <c r="L157" s="24"/>
      <c r="M157" s="24"/>
      <c r="N157" s="25"/>
      <c r="O157" s="25">
        <v>35</v>
      </c>
      <c r="P157" s="25">
        <v>19</v>
      </c>
      <c r="Q157" s="25"/>
      <c r="R157" s="26"/>
      <c r="S157" s="26"/>
      <c r="T157" s="26">
        <v>35</v>
      </c>
      <c r="U157" s="26">
        <v>19</v>
      </c>
      <c r="Y157">
        <v>35</v>
      </c>
      <c r="Z157">
        <v>19</v>
      </c>
    </row>
    <row r="158" spans="1:27" ht="12.75">
      <c r="A158" s="38" t="s">
        <v>64</v>
      </c>
      <c r="B158" s="13" t="str">
        <f ca="1">IFERROR(__xludf.UNSUPPORTED("""COMPUTED_VALUE"""),"FEI26006")</f>
        <v>FEI26006</v>
      </c>
      <c r="C158" s="13" t="str">
        <f ca="1">IFERROR(__xludf.UNSUPPORTED("""COMPUTED_VALUE"""),"Moccasin WTFS Project")</f>
        <v>Moccasin WTFS Project</v>
      </c>
      <c r="D158" s="23"/>
      <c r="E158" s="23"/>
      <c r="F158" s="23"/>
      <c r="G158" s="23"/>
      <c r="H158" s="23"/>
      <c r="I158" s="23"/>
      <c r="J158" s="24"/>
      <c r="K158" s="24"/>
      <c r="L158" s="24"/>
      <c r="M158" s="24"/>
      <c r="N158" s="25"/>
      <c r="O158" s="25"/>
      <c r="P158" s="25"/>
      <c r="Q158" s="25"/>
      <c r="R158" s="26"/>
      <c r="S158" s="26"/>
      <c r="T158" s="26"/>
      <c r="U158" s="26"/>
    </row>
    <row r="159" spans="1:27" ht="12.75">
      <c r="A159" s="38" t="s">
        <v>64</v>
      </c>
      <c r="B159" s="13" t="str">
        <f ca="1">IFERROR(__xludf.UNSUPPORTED("""COMPUTED_VALUE"""),"ATS26016
")</f>
        <v xml:space="preserve">ATS26016
</v>
      </c>
      <c r="C159" s="13" t="str">
        <f ca="1">IFERROR(__xludf.UNSUPPORTED("""COMPUTED_VALUE"""),"Wesco Generator
")</f>
        <v xml:space="preserve">Wesco Generator
</v>
      </c>
      <c r="D159" s="23"/>
      <c r="E159" s="23"/>
      <c r="F159" s="23">
        <v>21</v>
      </c>
      <c r="G159" s="23">
        <v>19</v>
      </c>
      <c r="H159" s="23"/>
      <c r="I159" s="23"/>
      <c r="J159" s="24"/>
      <c r="K159" s="24">
        <v>21</v>
      </c>
      <c r="L159" s="24">
        <v>19</v>
      </c>
      <c r="M159" s="24"/>
      <c r="N159" s="25"/>
      <c r="O159" s="25"/>
      <c r="P159" s="25">
        <v>21</v>
      </c>
      <c r="Q159" s="25">
        <v>19</v>
      </c>
      <c r="R159" s="26"/>
      <c r="S159" s="26"/>
      <c r="T159" s="26"/>
      <c r="U159" s="26">
        <v>21</v>
      </c>
      <c r="V159">
        <v>19</v>
      </c>
      <c r="Z159">
        <v>21</v>
      </c>
      <c r="AA159">
        <v>19</v>
      </c>
    </row>
    <row r="160" spans="1:27" ht="12.75">
      <c r="A160" s="38" t="s">
        <v>64</v>
      </c>
      <c r="B160" s="13" t="str">
        <f ca="1">IFERROR(__xludf.UNSUPPORTED("""COMPUTED_VALUE"""),"BEI26001
")</f>
        <v xml:space="preserve">BEI26001
</v>
      </c>
      <c r="C160" s="13" t="str">
        <f ca="1">IFERROR(__xludf.UNSUPPORTED("""COMPUTED_VALUE"""),"Cart Wash Replacement - CCRMC")</f>
        <v>Cart Wash Replacement - CCRMC</v>
      </c>
      <c r="D160" s="23"/>
      <c r="E160" s="23"/>
      <c r="F160" s="23"/>
      <c r="G160" s="23"/>
      <c r="H160" s="23"/>
      <c r="I160" s="23"/>
      <c r="J160" s="24"/>
      <c r="K160" s="24"/>
      <c r="L160" s="24"/>
      <c r="M160" s="24"/>
      <c r="N160" s="25"/>
      <c r="O160" s="25"/>
      <c r="P160" s="25"/>
      <c r="Q160" s="25"/>
      <c r="R160" s="26"/>
      <c r="S160" s="26"/>
      <c r="T160" s="26"/>
      <c r="U160" s="26"/>
    </row>
    <row r="161" spans="1:27" ht="12.75">
      <c r="A161" s="38" t="s">
        <v>64</v>
      </c>
      <c r="B161" s="13" t="str">
        <f ca="1">IFERROR(__xludf.UNSUPPORTED("""COMPUTED_VALUE"""),"CECI26001
")</f>
        <v xml:space="preserve">CECI26001
</v>
      </c>
      <c r="C161" s="13" t="str">
        <f ca="1">IFERROR(__xludf.UNSUPPORTED("""COMPUTED_VALUE"""),"White Oaks Elementary School HVAC Upgrades - San Carlos")</f>
        <v>White Oaks Elementary School HVAC Upgrades - San Carlos</v>
      </c>
      <c r="D161" s="23"/>
      <c r="E161" s="23"/>
      <c r="F161" s="23"/>
      <c r="G161" s="23"/>
      <c r="H161" s="23"/>
      <c r="I161" s="23"/>
      <c r="J161" s="24"/>
      <c r="K161" s="24"/>
      <c r="L161" s="24"/>
      <c r="M161" s="24"/>
      <c r="N161" s="25"/>
      <c r="O161" s="25"/>
      <c r="P161" s="25"/>
      <c r="Q161" s="25"/>
      <c r="R161" s="26"/>
      <c r="S161" s="26"/>
      <c r="T161" s="26"/>
      <c r="U161" s="26"/>
    </row>
    <row r="162" spans="1:27" ht="12.75">
      <c r="A162" s="38" t="s">
        <v>64</v>
      </c>
      <c r="B162" s="13" t="str">
        <f ca="1">IFERROR(__xludf.UNSUPPORTED("""COMPUTED_VALUE"""),"SCCE26007
")</f>
        <v xml:space="preserve">SCCE26007
</v>
      </c>
      <c r="C162" s="13" t="str">
        <f ca="1">IFERROR(__xludf.UNSUPPORTED("""COMPUTED_VALUE"""),"Walnut Grove Elementary School TK Building - PUSD
")</f>
        <v xml:space="preserve">Walnut Grove Elementary School TK Building - PUSD
</v>
      </c>
      <c r="D162" s="23"/>
      <c r="E162" s="23"/>
      <c r="F162" s="23"/>
      <c r="G162" s="23">
        <v>19</v>
      </c>
      <c r="H162" s="23"/>
      <c r="I162" s="23"/>
      <c r="J162" s="24"/>
      <c r="K162" s="24"/>
      <c r="L162" s="24">
        <v>19</v>
      </c>
      <c r="M162" s="24"/>
      <c r="N162" s="25"/>
      <c r="O162" s="25"/>
      <c r="P162" s="25"/>
      <c r="Q162" s="25">
        <v>19</v>
      </c>
      <c r="R162" s="26"/>
      <c r="S162" s="26"/>
      <c r="T162" s="26"/>
      <c r="U162" s="26"/>
      <c r="V162">
        <v>19</v>
      </c>
      <c r="AA162">
        <v>19</v>
      </c>
    </row>
  </sheetData>
  <mergeCells count="20">
    <mergeCell ref="N111:Q111"/>
    <mergeCell ref="R111:U111"/>
    <mergeCell ref="E66:I66"/>
    <mergeCell ref="J66:M66"/>
    <mergeCell ref="N66:Q66"/>
    <mergeCell ref="R66:U66"/>
    <mergeCell ref="N93:Q93"/>
    <mergeCell ref="R93:U93"/>
    <mergeCell ref="E93:I93"/>
    <mergeCell ref="E111:I111"/>
    <mergeCell ref="J93:M93"/>
    <mergeCell ref="J111:M111"/>
    <mergeCell ref="R22:U22"/>
    <mergeCell ref="E22:I22"/>
    <mergeCell ref="J22:M22"/>
    <mergeCell ref="N22:Q22"/>
    <mergeCell ref="J24:M24"/>
    <mergeCell ref="N24:Q24"/>
    <mergeCell ref="R24:U24"/>
    <mergeCell ref="E24:I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0EE9C12AEED4E970C2008153553A8" ma:contentTypeVersion="12" ma:contentTypeDescription="Create a new document." ma:contentTypeScope="" ma:versionID="9489aacc767741f82c1aac9bd1d7b055">
  <xsd:schema xmlns:xsd="http://www.w3.org/2001/XMLSchema" xmlns:xs="http://www.w3.org/2001/XMLSchema" xmlns:p="http://schemas.microsoft.com/office/2006/metadata/properties" xmlns:ns2="8841ef65-6713-4e33-81af-34c2b6b0f904" xmlns:ns3="8c4f1f70-0807-4ca0-afa2-d0ac1b65fc77" targetNamespace="http://schemas.microsoft.com/office/2006/metadata/properties" ma:root="true" ma:fieldsID="b1efc62e229f360750e2ab64b12cc5f8" ns2:_="" ns3:_="">
    <xsd:import namespace="8841ef65-6713-4e33-81af-34c2b6b0f904"/>
    <xsd:import namespace="8c4f1f70-0807-4ca0-afa2-d0ac1b65fc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1ef65-6713-4e33-81af-34c2b6b0f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b6de6e8-9785-45f0-96aa-8693acc52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f1f70-0807-4ca0-afa2-d0ac1b65fc7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aa6a1e9-52bb-405f-b486-32991e563b5a}" ma:internalName="TaxCatchAll" ma:showField="CatchAllData" ma:web="8c4f1f70-0807-4ca0-afa2-d0ac1b65fc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41ef65-6713-4e33-81af-34c2b6b0f904">
      <Terms xmlns="http://schemas.microsoft.com/office/infopath/2007/PartnerControls"/>
    </lcf76f155ced4ddcb4097134ff3c332f>
    <TaxCatchAll xmlns="8c4f1f70-0807-4ca0-afa2-d0ac1b65fc77" xsi:nil="true"/>
  </documentManagement>
</p:properties>
</file>

<file path=customXml/itemProps1.xml><?xml version="1.0" encoding="utf-8"?>
<ds:datastoreItem xmlns:ds="http://schemas.openxmlformats.org/officeDocument/2006/customXml" ds:itemID="{BA381B9B-3BF3-4B3C-B61E-21B530ED6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41ef65-6713-4e33-81af-34c2b6b0f904"/>
    <ds:schemaRef ds:uri="8c4f1f70-0807-4ca0-afa2-d0ac1b65fc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EEFC2-EA47-42DD-BCCC-2C7AFF3FB4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B05D5-5042-4D2C-A3BC-A551AE689E87}">
  <ds:schemaRefs>
    <ds:schemaRef ds:uri="http://schemas.microsoft.com/office/2006/metadata/properties"/>
    <ds:schemaRef ds:uri="http://schemas.microsoft.com/office/infopath/2007/PartnerControls"/>
    <ds:schemaRef ds:uri="8841ef65-6713-4e33-81af-34c2b6b0f904"/>
    <ds:schemaRef ds:uri="8c4f1f70-0807-4ca0-afa2-d0ac1b65fc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Utilization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Talha Qamar</dc:creator>
  <cp:keywords/>
  <dc:description/>
  <cp:lastModifiedBy>Talha Qamar</cp:lastModifiedBy>
  <cp:revision/>
  <dcterms:created xsi:type="dcterms:W3CDTF">2026-06-19T16:49:31Z</dcterms:created>
  <dcterms:modified xsi:type="dcterms:W3CDTF">2026-08-05T11:51:13Z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0x0101004DF0EE9C12AEED4E970C2008153553A8</vt:lpwstr>
  </property>
  <property fmtid="{D5CDD505-2E9C-101B-9397-08002B2CF9AE}" pid="3" name="MediaServiceImageTags">
    <vt:lpwstr/>
  </property>
</Properties>
</file>